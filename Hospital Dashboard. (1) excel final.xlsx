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285845B2-4D1D-43AB-94FC-3436CE5F6BD0}" xr6:coauthVersionLast="47" xr6:coauthVersionMax="47" xr10:uidLastSave="{00000000-0000-0000-0000-000000000000}"/>
  <bookViews>
    <workbookView xWindow="-120" yWindow="-120" windowWidth="20730" windowHeight="11160" activeTab="1" xr2:uid="{18953EC9-A3AB-4E0E-990A-4AE900126490}"/>
  </bookViews>
  <sheets>
    <sheet name="Pivot Report" sheetId="1" r:id="rId1"/>
    <sheet name="Dashboard" sheetId="2" r:id="rId2"/>
    <sheet name="Distinct Count of Patient_id" sheetId="7" r:id="rId3"/>
    <sheet name="Average of Patient_wait_time" sheetId="10" r:id="rId4"/>
    <sheet name="Average of Patient_satisfaction" sheetId="15" r:id="rId5"/>
  </sheets>
  <definedNames>
    <definedName name="Slicer_Date__Month">#N/A</definedName>
  </definedNames>
  <calcPr calcId="191029"/>
  <pivotCaches>
    <pivotCache cacheId="231" r:id="rId6"/>
    <pivotCache cacheId="234" r:id="rId7"/>
    <pivotCache cacheId="237" r:id="rId8"/>
    <pivotCache cacheId="240" r:id="rId9"/>
    <pivotCache cacheId="243" r:id="rId10"/>
    <pivotCache cacheId="246" r:id="rId11"/>
    <pivotCache cacheId="249" r:id="rId12"/>
    <pivotCache cacheId="252" r:id="rId13"/>
    <pivotCache cacheId="255" r:id="rId14"/>
    <pivotCache cacheId="258" r:id="rId15"/>
    <pivotCache cacheId="261" r:id="rId16"/>
    <pivotCache cacheId="264"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tient_data_with_wait_time_a0033635-97c1-4cfe-8739-31654f823cd4" name="patient_data_with_wait_time" connection="Query - patient_data_with_wait_time"/>
          <x15:modelTable id="Calendar_8803b4cf-df64-4180-a7ec-c7bc2abf27ae" name="Calendar" connection="Query - Calendar"/>
        </x15:modelTables>
        <x15:modelRelationships>
          <x15:modelRelationship fromTable="patient_data_with_wait_time" fromColumn="Patient_admission_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calculatedTimeColumn columnName="Date (Hour)" columnId="Date (Hour)" contentType="hours" isSelected="0"/>
              </x16:modelTimeGrouping>
            </x16:modelTimeGroupings>
          </ext>
        </x15:extLst>
      </x15:dataModel>
    </ext>
  </extLst>
</workbook>
</file>

<file path=xl/calcChain.xml><?xml version="1.0" encoding="utf-8"?>
<calcChain xmlns="http://schemas.openxmlformats.org/spreadsheetml/2006/main">
  <c r="B46" i="1" l="1"/>
  <c r="B45" i="1"/>
  <c r="C46" i="1"/>
  <c r="C45" i="1"/>
  <c r="A45"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3BF43-DDF5-4BA3-8939-DB4CFE933074}" name="Query - Calendar" description="Connection to the 'Calendar' query in the workbook." type="100" refreshedVersion="8" minRefreshableVersion="5">
    <extLst>
      <ext xmlns:x15="http://schemas.microsoft.com/office/spreadsheetml/2010/11/main" uri="{DE250136-89BD-433C-8126-D09CA5730AF9}">
        <x15:connection id="16bf7c68-6dc4-4490-a1e6-4fbf52e24564"/>
      </ext>
    </extLst>
  </connection>
  <connection id="2" xr16:uid="{15FFDBB3-E12B-4B96-B807-0E99F0E11859}" name="Query - patient_data_with_wait_time" description="Connection to the 'patient_data_with_wait_time' query in the workbook." type="100" refreshedVersion="8" minRefreshableVersion="5">
    <extLst>
      <ext xmlns:x15="http://schemas.microsoft.com/office/spreadsheetml/2010/11/main" uri="{DE250136-89BD-433C-8126-D09CA5730AF9}">
        <x15:connection id="8298dd7c-7eb4-4cd3-a6fb-bdfff587e660"/>
      </ext>
    </extLst>
  </connection>
  <connection id="3" xr16:uid="{216703B2-39C1-4A5E-B504-23DB5CBA3262}" keepAlive="1" name="Query - Table_ExternalData_111" description="Connection to the 'Table_ExternalData_111' query in the workbook." type="5" refreshedVersion="8" background="1" saveData="1">
    <dbPr connection="Provider=Microsoft.Mashup.OleDb.1;Data Source=$Workbook$;Location=Table_ExternalData_111;Extended Properties=&quot;&quot;" command="SELECT * FROM [Table_ExternalData_111]"/>
  </connection>
  <connection id="4" xr16:uid="{2E3A43C7-7526-4B42-8201-CEEF9B6A38D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<sst xmlns="http://schemas.openxmlformats.org/spreadsheetml/2006/main" count="149" uniqueCount="73">
  <si>
    <t>Distinct Count of Patient_id</t>
  </si>
  <si>
    <t>No. of Patients</t>
  </si>
  <si>
    <t>Average of Patient_wait_time</t>
  </si>
  <si>
    <t>Average of Patient_satisfaction Score</t>
  </si>
  <si>
    <t>Other</t>
  </si>
  <si>
    <t>Oncology</t>
  </si>
  <si>
    <t>Admitted</t>
  </si>
  <si>
    <t>90-99</t>
  </si>
  <si>
    <t>Delay</t>
  </si>
  <si>
    <t>Cardiology</t>
  </si>
  <si>
    <t>20-29</t>
  </si>
  <si>
    <t>70-79</t>
  </si>
  <si>
    <t>Pediatrics</t>
  </si>
  <si>
    <t>40-49</t>
  </si>
  <si>
    <t>Orthopedics</t>
  </si>
  <si>
    <t>Ontime</t>
  </si>
  <si>
    <t>10-19</t>
  </si>
  <si>
    <t>Neurology</t>
  </si>
  <si>
    <t>Emergency</t>
  </si>
  <si>
    <t>80-89</t>
  </si>
  <si>
    <t>30-39</t>
  </si>
  <si>
    <t>1-9</t>
  </si>
  <si>
    <t>60-69</t>
  </si>
  <si>
    <t>50-59</t>
  </si>
  <si>
    <t>Row Labels</t>
  </si>
  <si>
    <t>Grand Total</t>
  </si>
  <si>
    <t>Not Admitted</t>
  </si>
  <si>
    <t>Female</t>
  </si>
  <si>
    <t>Male</t>
  </si>
  <si>
    <t>Average of Patient_satisfaction</t>
  </si>
  <si>
    <t>Count of Patient_admission_flag</t>
  </si>
  <si>
    <t>Admission Status</t>
  </si>
  <si>
    <t>Patient</t>
  </si>
  <si>
    <t>% Status</t>
  </si>
  <si>
    <t>.</t>
  </si>
  <si>
    <t>Percent of Patient_admission_flag2</t>
  </si>
  <si>
    <t>Count of Age_group</t>
  </si>
  <si>
    <t>Age group chart</t>
  </si>
  <si>
    <t>Count of Patient_attend_status</t>
  </si>
  <si>
    <t>Count of Gender</t>
  </si>
  <si>
    <t>Count of Department_referral</t>
  </si>
  <si>
    <t>Showing  a daily trend with an area sparkline to spot patterns like busy days or seasonal trends</t>
  </si>
  <si>
    <t>• Use an area sparkline to track daily changes and highlight days with longer wait times that might need improvements</t>
  </si>
  <si>
    <t>Use an area Chart to show trends, spot drops in satisfaction, and link them to busy times or challenges.</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</si>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</sst>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sz val="20"/>
      <color theme="1"/>
      <name val="Calibri"/>
      <family val="2"/>
      <scheme val="minor"/>
    </font>
    <font>
      <b/>
      <sz val="22"/>
      <color theme="1"/>
      <name val="Calibri"/>
      <family val="2"/>
      <scheme val="minor"/>
    </font>
    <font>
      <sz val="22"/>
      <color theme="1"/>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4"/>
        <bgColor indexed="64"/>
      </patternFill>
    </fill>
  </fills>
  <borders count="1">
    <border>
      <left/>
      <right/>
      <top/>
      <bottom/>
      <diagonal/>
    </border>
  </borders>
  <cellStyleXfs count="1">
    <xf numFmtId="0" fontId="0" fillId="0" borderId="0"/>
  </cellStyleXfs>
  <cellXfs count="26">
    <xf numFmtId="0" fontId="0" fillId="0" borderId="0" xfId="0"/>
    <xf numFmtId="2" fontId="0" fillId="0" borderId="0" xfId="0" applyNumberFormat="1" applyAlignment="1">
      <alignment horizontal="left" indent="14"/>
    </xf>
    <xf numFmtId="0" fontId="0" fillId="2" borderId="0" xfId="0" applyFill="1"/>
    <xf numFmtId="0" fontId="0" fillId="0" borderId="0" xfId="0" pivotButton="1"/>
    <xf numFmtId="0" fontId="0" fillId="0" borderId="0" xfId="0" applyAlignment="1">
      <alignment horizontal="left"/>
    </xf>
    <xf numFmtId="2" fontId="0" fillId="0" borderId="0" xfId="0" applyNumberFormat="1"/>
    <xf numFmtId="0" fontId="0" fillId="3" borderId="0" xfId="0" applyFill="1"/>
    <xf numFmtId="1" fontId="0" fillId="0" borderId="0" xfId="0" applyNumberFormat="1" applyAlignment="1">
      <alignment horizontal="left" indent="14"/>
    </xf>
    <xf numFmtId="10" fontId="0" fillId="0" borderId="0" xfId="0" applyNumberFormat="1" applyAlignment="1">
      <alignment horizontal="left" indent="14"/>
    </xf>
    <xf numFmtId="0" fontId="0" fillId="4" borderId="0" xfId="0" applyFill="1" applyAlignment="1">
      <alignment horizontal="center" vertical="center"/>
    </xf>
    <xf numFmtId="0" fontId="2" fillId="3" borderId="0" xfId="0" applyFont="1" applyFill="1" applyAlignment="1">
      <alignment horizontal="center" vertical="center"/>
    </xf>
    <xf numFmtId="0" fontId="1" fillId="4" borderId="0" xfId="0" applyFont="1" applyFill="1" applyAlignment="1">
      <alignment horizontal="center" vertical="center"/>
    </xf>
    <xf numFmtId="1" fontId="2" fillId="3" borderId="0" xfId="0" applyNumberFormat="1" applyFont="1" applyFill="1" applyAlignment="1">
      <alignment horizontal="center" vertical="center"/>
    </xf>
    <xf numFmtId="10" fontId="2" fillId="3" borderId="0" xfId="0" applyNumberFormat="1" applyFont="1" applyFill="1" applyAlignment="1">
      <alignment horizontal="center" vertical="center"/>
    </xf>
    <xf numFmtId="10" fontId="0" fillId="3" borderId="0" xfId="0" applyNumberFormat="1" applyFill="1" applyAlignment="1">
      <alignment horizontal="left" indent="14"/>
    </xf>
    <xf numFmtId="0" fontId="3" fillId="2" borderId="0" xfId="0" applyFont="1" applyFill="1"/>
    <xf numFmtId="0" fontId="4" fillId="3" borderId="0" xfId="0" applyFont="1" applyFill="1"/>
    <xf numFmtId="0" fontId="6" fillId="3" borderId="0" xfId="0" applyFont="1" applyFill="1"/>
    <xf numFmtId="0" fontId="5" fillId="3" borderId="0" xfId="0" applyFont="1" applyFill="1"/>
    <xf numFmtId="0" fontId="7" fillId="0" borderId="0" xfId="0" applyFont="1" applyAlignment="1">
      <alignment vertical="top"/>
    </xf>
    <xf numFmtId="0" fontId="8" fillId="3" borderId="0" xfId="0" applyFont="1" applyFill="1" applyAlignment="1">
      <alignment vertical="top"/>
    </xf>
    <xf numFmtId="0" fontId="8" fillId="3" borderId="0" xfId="0" applyFont="1" applyFill="1"/>
    <xf numFmtId="0" fontId="6" fillId="0" borderId="0" xfId="0" applyFont="1"/>
    <xf numFmtId="0" fontId="9" fillId="3" borderId="0" xfId="0" applyFont="1" applyFill="1"/>
    <xf numFmtId="0" fontId="10" fillId="3" borderId="0" xfId="0" applyFont="1" applyFill="1"/>
    <xf numFmtId="0" fontId="0" fillId="0" borderId="0" xfId="0" applyNumberFormat="1"/>
  </cellXfs>
  <cellStyles count="1">
    <cellStyle name="Normal" xfId="0" builtinId="0"/>
  </cellStyles>
  <dxfs count="1052">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numFmt numFmtId="1" formatCode="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numFmt numFmtId="1" formatCode="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numFmt numFmtId="1" formatCode="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numFmt numFmtId="1" formatCode="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numFmt numFmtId="1" formatCode="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numFmt numFmtId="1" formatCode="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 formatCode="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1" formatCode="0"/>
    </dxf>
    <dxf>
      <numFmt numFmtId="14" formatCode="0.00%"/>
    </dxf>
    <dxf>
      <fill>
        <patternFill>
          <bgColor theme="0"/>
        </patternFill>
      </fill>
    </dxf>
    <dxf>
      <fill>
        <patternFill>
          <bgColor theme="0"/>
        </patternFill>
      </fill>
    </dxf>
    <dxf>
      <numFmt numFmtId="1" formatCode="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numFmt numFmtId="2" formatCode="0.00"/>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fill>
        <patternFill>
          <bgColor theme="0"/>
        </patternFill>
      </fill>
    </dxf>
    <dxf>
      <fill>
        <patternFill>
          <bgColor theme="0"/>
        </patternFill>
      </fill>
    </dxf>
    <dxf>
      <numFmt numFmtId="14" formatCode="0.00%"/>
    </dxf>
    <dxf>
      <numFmt numFmtId="1" formatCode="0"/>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2" formatCode="0.00"/>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1" formatCode="0"/>
    </dxf>
    <dxf>
      <fill>
        <patternFill>
          <bgColor theme="0"/>
        </patternFill>
      </fill>
    </dxf>
    <dxf>
      <fill>
        <patternFill>
          <bgColor theme="0"/>
        </patternFill>
      </fill>
    </dxf>
    <dxf>
      <numFmt numFmtId="14" formatCode="0.00%"/>
    </dxf>
    <dxf>
      <numFmt numFmtId="1" formatCode="0"/>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font>
        <b/>
        <color theme="1"/>
      </font>
      <border>
        <bottom style="thin">
          <color theme="7"/>
        </bottom>
        <vertical/>
        <horizontal/>
      </border>
    </dxf>
    <dxf>
      <font>
        <sz val="10"/>
        <color theme="1"/>
      </font>
      <fill>
        <patternFill>
          <bgColor theme="0" tint="-4.9989318521683403E-2"/>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sz val="12.4"/>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SlicerStyleDark2 2" pivot="0" table="0" count="10" xr9:uid="{C6E70907-F670-408B-A8F8-71630C998510}">
      <tableStyleElement type="wholeTable" dxfId="1051"/>
      <tableStyleElement type="headerRow" dxfId="1050"/>
    </tableStyle>
    <tableStyle name="SlicerStyleLight4 2" pivot="0" table="0" count="10" xr9:uid="{B27FD924-FCC2-4D10-A2C8-669563A70282}">
      <tableStyleElement type="wholeTable" dxfId="1049"/>
      <tableStyleElement type="headerRow" dxfId="104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Dashboard. (1).xlsx]Pivot Report!PivotTable12</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37473314746234"/>
                  <c:h val="0.23541075267540057"/>
                </c:manualLayout>
              </c15:layout>
            </c:ext>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37473314746234"/>
                  <c:h val="0.23541075267540057"/>
                </c:manualLayout>
              </c15:layout>
            </c:ext>
          </c:extLst>
        </c:dLbl>
      </c:pivotFmt>
    </c:pivotFmts>
    <c:plotArea>
      <c:layout/>
      <c:barChart>
        <c:barDir val="bar"/>
        <c:grouping val="clustered"/>
        <c:varyColors val="0"/>
        <c:ser>
          <c:idx val="0"/>
          <c:order val="0"/>
          <c:tx>
            <c:strRef>
              <c:f>'Pivot Report'!$F$38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8E5D-4C70-915F-F17D4B67026A}"/>
              </c:ext>
            </c:extLst>
          </c:dPt>
          <c:dPt>
            <c:idx val="1"/>
            <c:invertIfNegative val="0"/>
            <c:bubble3D val="0"/>
            <c:extLst>
              <c:ext xmlns:c16="http://schemas.microsoft.com/office/drawing/2014/chart" uri="{C3380CC4-5D6E-409C-BE32-E72D297353CC}">
                <c16:uniqueId val="{00000002-8E5D-4C70-915F-F17D4B67026A}"/>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437473314746234"/>
                      <c:h val="0.23541075267540057"/>
                    </c:manualLayout>
                  </c15:layout>
                </c:ext>
                <c:ext xmlns:c16="http://schemas.microsoft.com/office/drawing/2014/chart" uri="{C3380CC4-5D6E-409C-BE32-E72D297353CC}">
                  <c16:uniqueId val="{00000003-8E5D-4C70-915F-F17D4B67026A}"/>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437473314746234"/>
                      <c:h val="0.23541075267540057"/>
                    </c:manualLayout>
                  </c15:layout>
                </c:ext>
                <c:ext xmlns:c16="http://schemas.microsoft.com/office/drawing/2014/chart" uri="{C3380CC4-5D6E-409C-BE32-E72D297353CC}">
                  <c16:uniqueId val="{00000002-8E5D-4C70-915F-F17D4B6702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Report'!$E$39:$E$40</c:f>
              <c:strCache>
                <c:ptCount val="2"/>
                <c:pt idx="0">
                  <c:v>Admitted</c:v>
                </c:pt>
                <c:pt idx="1">
                  <c:v>Not Admitted</c:v>
                </c:pt>
              </c:strCache>
            </c:strRef>
          </c:cat>
          <c:val>
            <c:numRef>
              <c:f>'Pivot Report'!$F$39:$F$40</c:f>
              <c:numCache>
                <c:formatCode>0.00%</c:formatCode>
                <c:ptCount val="2"/>
                <c:pt idx="0">
                  <c:v>0.61290322580645162</c:v>
                </c:pt>
                <c:pt idx="1">
                  <c:v>0.38709677419354838</c:v>
                </c:pt>
              </c:numCache>
            </c:numRef>
          </c:val>
          <c:extLst>
            <c:ext xmlns:c16="http://schemas.microsoft.com/office/drawing/2014/chart" uri="{C3380CC4-5D6E-409C-BE32-E72D297353CC}">
              <c16:uniqueId val="{00000000-8E5D-4C70-915F-F17D4B67026A}"/>
            </c:ext>
          </c:extLst>
        </c:ser>
        <c:dLbls>
          <c:dLblPos val="outEnd"/>
          <c:showLegendKey val="0"/>
          <c:showVal val="1"/>
          <c:showCatName val="0"/>
          <c:showSerName val="0"/>
          <c:showPercent val="0"/>
          <c:showBubbleSize val="0"/>
        </c:dLbls>
        <c:gapWidth val="182"/>
        <c:axId val="503812079"/>
        <c:axId val="503814479"/>
      </c:barChart>
      <c:catAx>
        <c:axId val="503812079"/>
        <c:scaling>
          <c:orientation val="minMax"/>
        </c:scaling>
        <c:delete val="1"/>
        <c:axPos val="l"/>
        <c:numFmt formatCode="General" sourceLinked="1"/>
        <c:majorTickMark val="out"/>
        <c:minorTickMark val="none"/>
        <c:tickLblPos val="nextTo"/>
        <c:crossAx val="503814479"/>
        <c:crosses val="autoZero"/>
        <c:auto val="1"/>
        <c:lblAlgn val="ctr"/>
        <c:lblOffset val="100"/>
        <c:noMultiLvlLbl val="0"/>
      </c:catAx>
      <c:valAx>
        <c:axId val="503814479"/>
        <c:scaling>
          <c:orientation val="minMax"/>
        </c:scaling>
        <c:delete val="1"/>
        <c:axPos val="b"/>
        <c:numFmt formatCode="0.00%" sourceLinked="1"/>
        <c:majorTickMark val="out"/>
        <c:minorTickMark val="none"/>
        <c:tickLblPos val="nextTo"/>
        <c:crossAx val="50381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Dashboard. (1).xlsx]Pivot Report!PivotTable15</c:name>
    <c:fmtId val="8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805014167410265"/>
              <c:y val="-7.3632086608610356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5000782729848614"/>
                  <c:h val="0.24277448743414881"/>
                </c:manualLayout>
              </c15:layout>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1021726623773068"/>
              <c:y val="5.047717326006558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5000782729848614"/>
                  <c:h val="0.26592894498628505"/>
                </c:manualLayout>
              </c15:layout>
            </c:ext>
          </c:extLst>
        </c:dLbl>
      </c:pivotFmt>
    </c:pivotFmts>
    <c:plotArea>
      <c:layout>
        <c:manualLayout>
          <c:layoutTarget val="inner"/>
          <c:xMode val="edge"/>
          <c:yMode val="edge"/>
          <c:x val="0.11156542056074767"/>
          <c:y val="0.15368360983462795"/>
          <c:w val="0.76812998011866185"/>
          <c:h val="0.71567146559511974"/>
        </c:manualLayout>
      </c:layout>
      <c:pieChart>
        <c:varyColors val="1"/>
        <c:ser>
          <c:idx val="0"/>
          <c:order val="0"/>
          <c:tx>
            <c:strRef>
              <c:f>'Pivot Report'!$G$57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664-492D-96BC-573DF26B65D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664-492D-96BC-573DF26B65DA}"/>
              </c:ext>
            </c:extLst>
          </c:dPt>
          <c:dLbls>
            <c:dLbl>
              <c:idx val="0"/>
              <c:layout>
                <c:manualLayout>
                  <c:x val="-0.16805014167410265"/>
                  <c:y val="-7.3632086608610356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5000782729848614"/>
                      <c:h val="0.24277448743414881"/>
                    </c:manualLayout>
                  </c15:layout>
                </c:ext>
                <c:ext xmlns:c16="http://schemas.microsoft.com/office/drawing/2014/chart" uri="{C3380CC4-5D6E-409C-BE32-E72D297353CC}">
                  <c16:uniqueId val="{00000001-2664-492D-96BC-573DF26B65DA}"/>
                </c:ext>
              </c:extLst>
            </c:dLbl>
            <c:dLbl>
              <c:idx val="1"/>
              <c:layout>
                <c:manualLayout>
                  <c:x val="0.21021726623773068"/>
                  <c:y val="5.047717326006558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5000782729848614"/>
                      <c:h val="0.26592894498628505"/>
                    </c:manualLayout>
                  </c15:layout>
                </c:ext>
                <c:ext xmlns:c16="http://schemas.microsoft.com/office/drawing/2014/chart" uri="{C3380CC4-5D6E-409C-BE32-E72D297353CC}">
                  <c16:uniqueId val="{00000003-2664-492D-96BC-573DF26B65D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Report'!$F$58:$F$60</c:f>
              <c:strCache>
                <c:ptCount val="2"/>
                <c:pt idx="0">
                  <c:v>Delay</c:v>
                </c:pt>
                <c:pt idx="1">
                  <c:v>Ontime</c:v>
                </c:pt>
              </c:strCache>
            </c:strRef>
          </c:cat>
          <c:val>
            <c:numRef>
              <c:f>'Pivot Report'!$G$58:$G$60</c:f>
              <c:numCache>
                <c:formatCode>0</c:formatCode>
                <c:ptCount val="2"/>
                <c:pt idx="0">
                  <c:v>190</c:v>
                </c:pt>
                <c:pt idx="1">
                  <c:v>182</c:v>
                </c:pt>
              </c:numCache>
            </c:numRef>
          </c:val>
          <c:extLst>
            <c:ext xmlns:c16="http://schemas.microsoft.com/office/drawing/2014/chart" uri="{C3380CC4-5D6E-409C-BE32-E72D297353CC}">
              <c16:uniqueId val="{00000004-2664-492D-96BC-573DF26B65D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2212807777098991E-2"/>
          <c:y val="1.6532647329352106E-2"/>
          <c:w val="0.90063358183598829"/>
          <c:h val="0.1470481257195885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Dashboard. (1).xlsx]Pivot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06165949598281E-3"/>
          <c:y val="0.26152052563883238"/>
          <c:w val="0.99088938340504018"/>
          <c:h val="0.73847947436116768"/>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General</c:formatCode>
                <c:ptCount val="29"/>
                <c:pt idx="0">
                  <c:v>15</c:v>
                </c:pt>
                <c:pt idx="1">
                  <c:v>11</c:v>
                </c:pt>
                <c:pt idx="2">
                  <c:v>16</c:v>
                </c:pt>
                <c:pt idx="3">
                  <c:v>11</c:v>
                </c:pt>
                <c:pt idx="4">
                  <c:v>18</c:v>
                </c:pt>
                <c:pt idx="5">
                  <c:v>12</c:v>
                </c:pt>
                <c:pt idx="6">
                  <c:v>9</c:v>
                </c:pt>
                <c:pt idx="7">
                  <c:v>14</c:v>
                </c:pt>
                <c:pt idx="8">
                  <c:v>16</c:v>
                </c:pt>
                <c:pt idx="9">
                  <c:v>12</c:v>
                </c:pt>
                <c:pt idx="10">
                  <c:v>14</c:v>
                </c:pt>
                <c:pt idx="11">
                  <c:v>9</c:v>
                </c:pt>
                <c:pt idx="12">
                  <c:v>16</c:v>
                </c:pt>
                <c:pt idx="13">
                  <c:v>13</c:v>
                </c:pt>
                <c:pt idx="14">
                  <c:v>6</c:v>
                </c:pt>
                <c:pt idx="15">
                  <c:v>20</c:v>
                </c:pt>
                <c:pt idx="16">
                  <c:v>16</c:v>
                </c:pt>
                <c:pt idx="17">
                  <c:v>6</c:v>
                </c:pt>
                <c:pt idx="18">
                  <c:v>9</c:v>
                </c:pt>
                <c:pt idx="19">
                  <c:v>13</c:v>
                </c:pt>
                <c:pt idx="20">
                  <c:v>14</c:v>
                </c:pt>
                <c:pt idx="21">
                  <c:v>5</c:v>
                </c:pt>
                <c:pt idx="22">
                  <c:v>19</c:v>
                </c:pt>
                <c:pt idx="23">
                  <c:v>8</c:v>
                </c:pt>
                <c:pt idx="24">
                  <c:v>21</c:v>
                </c:pt>
                <c:pt idx="25">
                  <c:v>10</c:v>
                </c:pt>
                <c:pt idx="26">
                  <c:v>14</c:v>
                </c:pt>
                <c:pt idx="27">
                  <c:v>13</c:v>
                </c:pt>
                <c:pt idx="28">
                  <c:v>12</c:v>
                </c:pt>
              </c:numCache>
            </c:numRef>
          </c:val>
          <c:extLst>
            <c:ext xmlns:c16="http://schemas.microsoft.com/office/drawing/2014/chart" uri="{C3380CC4-5D6E-409C-BE32-E72D297353CC}">
              <c16:uniqueId val="{00000001-C4D2-46E1-AE25-389499D20E31}"/>
            </c:ext>
          </c:extLst>
        </c:ser>
        <c:dLbls>
          <c:showLegendKey val="0"/>
          <c:showVal val="0"/>
          <c:showCatName val="0"/>
          <c:showSerName val="0"/>
          <c:showPercent val="0"/>
          <c:showBubbleSize val="0"/>
        </c:dLbls>
        <c:axId val="1334925615"/>
        <c:axId val="1446869231"/>
      </c:areaChart>
      <c:catAx>
        <c:axId val="1334925615"/>
        <c:scaling>
          <c:orientation val="minMax"/>
        </c:scaling>
        <c:delete val="1"/>
        <c:axPos val="b"/>
        <c:numFmt formatCode="General" sourceLinked="1"/>
        <c:majorTickMark val="out"/>
        <c:minorTickMark val="none"/>
        <c:tickLblPos val="nextTo"/>
        <c:crossAx val="1446869231"/>
        <c:crosses val="autoZero"/>
        <c:auto val="1"/>
        <c:lblAlgn val="ctr"/>
        <c:lblOffset val="100"/>
        <c:noMultiLvlLbl val="0"/>
      </c:catAx>
      <c:valAx>
        <c:axId val="1446869231"/>
        <c:scaling>
          <c:orientation val="minMax"/>
        </c:scaling>
        <c:delete val="1"/>
        <c:axPos val="l"/>
        <c:numFmt formatCode="General" sourceLinked="1"/>
        <c:majorTickMark val="out"/>
        <c:minorTickMark val="none"/>
        <c:tickLblPos val="nextTo"/>
        <c:crossAx val="133492561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Dashboard. (1).xlsx]Pivot Report!PivotTable5</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45411282620565E-3"/>
          <c:y val="0.42149443609710707"/>
          <c:w val="0.98787189484863902"/>
          <c:h val="0.57133007405825509"/>
        </c:manualLayout>
      </c:layout>
      <c:areaChart>
        <c:grouping val="standard"/>
        <c:varyColors val="0"/>
        <c:ser>
          <c:idx val="0"/>
          <c:order val="0"/>
          <c:tx>
            <c:strRef>
              <c:f>'Pivot Report'!$L$4</c:f>
              <c:strCache>
                <c:ptCount val="1"/>
                <c:pt idx="0">
                  <c:v>Total</c:v>
                </c:pt>
              </c:strCache>
            </c:strRef>
          </c:tx>
          <c:spPr>
            <a:solidFill>
              <a:schemeClr val="accent1"/>
            </a:solidFill>
            <a:ln>
              <a:noFill/>
            </a:ln>
            <a:effectLst/>
          </c:spPr>
          <c:cat>
            <c:strRef>
              <c:f>'Pivot Report'!$K$5:$K$33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Report'!$L$5:$L$33</c:f>
              <c:numCache>
                <c:formatCode>0.00</c:formatCode>
                <c:ptCount val="29"/>
                <c:pt idx="0">
                  <c:v>27.733333333333334</c:v>
                </c:pt>
                <c:pt idx="1">
                  <c:v>28.545454545454547</c:v>
                </c:pt>
                <c:pt idx="2">
                  <c:v>33.125</c:v>
                </c:pt>
                <c:pt idx="3">
                  <c:v>26.90909090909091</c:v>
                </c:pt>
                <c:pt idx="4">
                  <c:v>33</c:v>
                </c:pt>
                <c:pt idx="5">
                  <c:v>25.583333333333332</c:v>
                </c:pt>
                <c:pt idx="6">
                  <c:v>30.666666666666668</c:v>
                </c:pt>
                <c:pt idx="7">
                  <c:v>27.5</c:v>
                </c:pt>
                <c:pt idx="8">
                  <c:v>33.3125</c:v>
                </c:pt>
                <c:pt idx="9">
                  <c:v>29.75</c:v>
                </c:pt>
                <c:pt idx="10">
                  <c:v>30.142857142857142</c:v>
                </c:pt>
                <c:pt idx="11">
                  <c:v>35</c:v>
                </c:pt>
                <c:pt idx="12">
                  <c:v>33.1875</c:v>
                </c:pt>
                <c:pt idx="13">
                  <c:v>34.846153846153847</c:v>
                </c:pt>
                <c:pt idx="14">
                  <c:v>27.166666666666668</c:v>
                </c:pt>
                <c:pt idx="15">
                  <c:v>33.950000000000003</c:v>
                </c:pt>
                <c:pt idx="16">
                  <c:v>36.25</c:v>
                </c:pt>
                <c:pt idx="17">
                  <c:v>33.333333333333336</c:v>
                </c:pt>
                <c:pt idx="18">
                  <c:v>27.555555555555557</c:v>
                </c:pt>
                <c:pt idx="19">
                  <c:v>36.846153846153847</c:v>
                </c:pt>
                <c:pt idx="20">
                  <c:v>31.857142857142858</c:v>
                </c:pt>
                <c:pt idx="21">
                  <c:v>31.4</c:v>
                </c:pt>
                <c:pt idx="22">
                  <c:v>25.368421052631579</c:v>
                </c:pt>
                <c:pt idx="23">
                  <c:v>22.5</c:v>
                </c:pt>
                <c:pt idx="24">
                  <c:v>35</c:v>
                </c:pt>
                <c:pt idx="25">
                  <c:v>35</c:v>
                </c:pt>
                <c:pt idx="26">
                  <c:v>27.357142857142858</c:v>
                </c:pt>
                <c:pt idx="27">
                  <c:v>32.46153846153846</c:v>
                </c:pt>
                <c:pt idx="28">
                  <c:v>25.166666666666668</c:v>
                </c:pt>
              </c:numCache>
            </c:numRef>
          </c:val>
          <c:extLst>
            <c:ext xmlns:c16="http://schemas.microsoft.com/office/drawing/2014/chart" uri="{C3380CC4-5D6E-409C-BE32-E72D297353CC}">
              <c16:uniqueId val="{00000000-06AB-4145-9FF5-A34115ADFED8}"/>
            </c:ext>
          </c:extLst>
        </c:ser>
        <c:dLbls>
          <c:showLegendKey val="0"/>
          <c:showVal val="0"/>
          <c:showCatName val="0"/>
          <c:showSerName val="0"/>
          <c:showPercent val="0"/>
          <c:showBubbleSize val="0"/>
        </c:dLbls>
        <c:axId val="525580944"/>
        <c:axId val="525584304"/>
      </c:areaChart>
      <c:catAx>
        <c:axId val="525580944"/>
        <c:scaling>
          <c:orientation val="minMax"/>
        </c:scaling>
        <c:delete val="1"/>
        <c:axPos val="b"/>
        <c:numFmt formatCode="General" sourceLinked="1"/>
        <c:majorTickMark val="out"/>
        <c:minorTickMark val="none"/>
        <c:tickLblPos val="nextTo"/>
        <c:crossAx val="525584304"/>
        <c:crosses val="autoZero"/>
        <c:auto val="1"/>
        <c:lblAlgn val="ctr"/>
        <c:lblOffset val="100"/>
        <c:noMultiLvlLbl val="0"/>
      </c:catAx>
      <c:valAx>
        <c:axId val="525584304"/>
        <c:scaling>
          <c:orientation val="minMax"/>
        </c:scaling>
        <c:delete val="1"/>
        <c:axPos val="l"/>
        <c:numFmt formatCode="0.00" sourceLinked="1"/>
        <c:majorTickMark val="none"/>
        <c:minorTickMark val="none"/>
        <c:tickLblPos val="nextTo"/>
        <c:crossAx val="525580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Dashboard. (1).xlsx]Pivot Report!PivotTable6</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800460747829169"/>
          <c:w val="1"/>
          <c:h val="0.8199539252170831"/>
        </c:manualLayout>
      </c:layout>
      <c:areaChart>
        <c:grouping val="standard"/>
        <c:varyColors val="0"/>
        <c:ser>
          <c:idx val="0"/>
          <c:order val="0"/>
          <c:tx>
            <c:strRef>
              <c:f>'Pivot Report'!$O$4</c:f>
              <c:strCache>
                <c:ptCount val="1"/>
                <c:pt idx="0">
                  <c:v>Total</c:v>
                </c:pt>
              </c:strCache>
            </c:strRef>
          </c:tx>
          <c:spPr>
            <a:solidFill>
              <a:schemeClr val="accent1"/>
            </a:solidFill>
            <a:ln>
              <a:noFill/>
            </a:ln>
            <a:effectLst/>
          </c:spPr>
          <c:cat>
            <c:strRef>
              <c:f>'Pivot Report'!$N$5:$N$33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Report'!$O$5:$O$33</c:f>
              <c:numCache>
                <c:formatCode>0.00</c:formatCode>
                <c:ptCount val="29"/>
                <c:pt idx="0">
                  <c:v>2.6666666666666665</c:v>
                </c:pt>
                <c:pt idx="1">
                  <c:v>2.6363636363636362</c:v>
                </c:pt>
                <c:pt idx="2">
                  <c:v>3.25</c:v>
                </c:pt>
                <c:pt idx="3">
                  <c:v>2.9090909090909092</c:v>
                </c:pt>
                <c:pt idx="4">
                  <c:v>3.2777777777777777</c:v>
                </c:pt>
                <c:pt idx="5">
                  <c:v>2.1666666666666665</c:v>
                </c:pt>
                <c:pt idx="6">
                  <c:v>3.1111111111111112</c:v>
                </c:pt>
                <c:pt idx="7">
                  <c:v>3.1428571428571428</c:v>
                </c:pt>
                <c:pt idx="8">
                  <c:v>2.625</c:v>
                </c:pt>
                <c:pt idx="9">
                  <c:v>3.25</c:v>
                </c:pt>
                <c:pt idx="10">
                  <c:v>2.7857142857142856</c:v>
                </c:pt>
                <c:pt idx="11">
                  <c:v>3.5555555555555554</c:v>
                </c:pt>
                <c:pt idx="12">
                  <c:v>2.75</c:v>
                </c:pt>
                <c:pt idx="13">
                  <c:v>2.8461538461538463</c:v>
                </c:pt>
                <c:pt idx="14">
                  <c:v>3.8333333333333335</c:v>
                </c:pt>
                <c:pt idx="15">
                  <c:v>2.85</c:v>
                </c:pt>
                <c:pt idx="16">
                  <c:v>2.875</c:v>
                </c:pt>
                <c:pt idx="17">
                  <c:v>3.5</c:v>
                </c:pt>
                <c:pt idx="18">
                  <c:v>3.4444444444444446</c:v>
                </c:pt>
                <c:pt idx="19">
                  <c:v>3.0769230769230771</c:v>
                </c:pt>
                <c:pt idx="20">
                  <c:v>3.0714285714285716</c:v>
                </c:pt>
                <c:pt idx="21">
                  <c:v>3.8</c:v>
                </c:pt>
                <c:pt idx="22">
                  <c:v>2.8421052631578947</c:v>
                </c:pt>
                <c:pt idx="23">
                  <c:v>3.125</c:v>
                </c:pt>
                <c:pt idx="24">
                  <c:v>2.4285714285714284</c:v>
                </c:pt>
                <c:pt idx="25">
                  <c:v>3.8</c:v>
                </c:pt>
                <c:pt idx="26">
                  <c:v>2.0714285714285716</c:v>
                </c:pt>
                <c:pt idx="27">
                  <c:v>2.6153846153846154</c:v>
                </c:pt>
                <c:pt idx="28">
                  <c:v>3</c:v>
                </c:pt>
              </c:numCache>
            </c:numRef>
          </c:val>
          <c:extLst>
            <c:ext xmlns:c16="http://schemas.microsoft.com/office/drawing/2014/chart" uri="{C3380CC4-5D6E-409C-BE32-E72D297353CC}">
              <c16:uniqueId val="{00000000-3823-4A46-A74E-371929E81888}"/>
            </c:ext>
          </c:extLst>
        </c:ser>
        <c:dLbls>
          <c:showLegendKey val="0"/>
          <c:showVal val="0"/>
          <c:showCatName val="0"/>
          <c:showSerName val="0"/>
          <c:showPercent val="0"/>
          <c:showBubbleSize val="0"/>
        </c:dLbls>
        <c:axId val="525591984"/>
        <c:axId val="525589584"/>
      </c:areaChart>
      <c:catAx>
        <c:axId val="525591984"/>
        <c:scaling>
          <c:orientation val="minMax"/>
        </c:scaling>
        <c:delete val="1"/>
        <c:axPos val="b"/>
        <c:numFmt formatCode="General" sourceLinked="1"/>
        <c:majorTickMark val="out"/>
        <c:minorTickMark val="none"/>
        <c:tickLblPos val="nextTo"/>
        <c:crossAx val="525589584"/>
        <c:crosses val="autoZero"/>
        <c:auto val="1"/>
        <c:lblAlgn val="ctr"/>
        <c:lblOffset val="100"/>
        <c:noMultiLvlLbl val="0"/>
      </c:catAx>
      <c:valAx>
        <c:axId val="525589584"/>
        <c:scaling>
          <c:orientation val="minMax"/>
        </c:scaling>
        <c:delete val="1"/>
        <c:axPos val="l"/>
        <c:numFmt formatCode="0.00" sourceLinked="1"/>
        <c:majorTickMark val="none"/>
        <c:minorTickMark val="none"/>
        <c:tickLblPos val="nextTo"/>
        <c:crossAx val="5255919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Hospital Dashboard. (1).xlsx]Pivot Report!PivotTable13</c:name>
    <c:fmtId val="8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083840662018504E-2"/>
          <c:y val="6.4983162180995022E-2"/>
          <c:w val="0.93888888888888888"/>
          <c:h val="0.75449348520634119"/>
        </c:manualLayout>
      </c:layout>
      <c:barChart>
        <c:barDir val="col"/>
        <c:grouping val="clustered"/>
        <c:varyColors val="0"/>
        <c:ser>
          <c:idx val="0"/>
          <c:order val="0"/>
          <c:tx>
            <c:strRef>
              <c:f>'Pivot Report'!$G$44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Report'!$F$45:$F$55</c:f>
              <c:strCache>
                <c:ptCount val="10"/>
                <c:pt idx="0">
                  <c:v>10-19</c:v>
                </c:pt>
                <c:pt idx="1">
                  <c:v>1-9</c:v>
                </c:pt>
                <c:pt idx="2">
                  <c:v>20-29</c:v>
                </c:pt>
                <c:pt idx="3">
                  <c:v>30-39</c:v>
                </c:pt>
                <c:pt idx="4">
                  <c:v>40-49</c:v>
                </c:pt>
                <c:pt idx="5">
                  <c:v>50-59</c:v>
                </c:pt>
                <c:pt idx="6">
                  <c:v>60-69</c:v>
                </c:pt>
                <c:pt idx="7">
                  <c:v>70-79</c:v>
                </c:pt>
                <c:pt idx="8">
                  <c:v>80-89</c:v>
                </c:pt>
                <c:pt idx="9">
                  <c:v>90-99</c:v>
                </c:pt>
              </c:strCache>
            </c:strRef>
          </c:cat>
          <c:val>
            <c:numRef>
              <c:f>'Pivot Report'!$G$45:$G$55</c:f>
              <c:numCache>
                <c:formatCode>0</c:formatCode>
                <c:ptCount val="10"/>
                <c:pt idx="0">
                  <c:v>38</c:v>
                </c:pt>
                <c:pt idx="1">
                  <c:v>33</c:v>
                </c:pt>
                <c:pt idx="2">
                  <c:v>33</c:v>
                </c:pt>
                <c:pt idx="3">
                  <c:v>47</c:v>
                </c:pt>
                <c:pt idx="4">
                  <c:v>31</c:v>
                </c:pt>
                <c:pt idx="5">
                  <c:v>27</c:v>
                </c:pt>
                <c:pt idx="6">
                  <c:v>54</c:v>
                </c:pt>
                <c:pt idx="7">
                  <c:v>36</c:v>
                </c:pt>
                <c:pt idx="8">
                  <c:v>35</c:v>
                </c:pt>
                <c:pt idx="9">
                  <c:v>38</c:v>
                </c:pt>
              </c:numCache>
            </c:numRef>
          </c:val>
          <c:extLst>
            <c:ext xmlns:c16="http://schemas.microsoft.com/office/drawing/2014/chart" uri="{C3380CC4-5D6E-409C-BE32-E72D297353CC}">
              <c16:uniqueId val="{00000000-50A8-4690-A985-542417BD62E8}"/>
            </c:ext>
          </c:extLst>
        </c:ser>
        <c:dLbls>
          <c:showLegendKey val="0"/>
          <c:showVal val="0"/>
          <c:showCatName val="0"/>
          <c:showSerName val="0"/>
          <c:showPercent val="0"/>
          <c:showBubbleSize val="0"/>
        </c:dLbls>
        <c:gapWidth val="219"/>
        <c:overlap val="-27"/>
        <c:axId val="503817359"/>
        <c:axId val="503845199"/>
      </c:barChart>
      <c:catAx>
        <c:axId val="50381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3845199"/>
        <c:crosses val="autoZero"/>
        <c:auto val="1"/>
        <c:lblAlgn val="ctr"/>
        <c:lblOffset val="100"/>
        <c:noMultiLvlLbl val="0"/>
      </c:catAx>
      <c:valAx>
        <c:axId val="503845199"/>
        <c:scaling>
          <c:orientation val="minMax"/>
        </c:scaling>
        <c:delete val="1"/>
        <c:axPos val="l"/>
        <c:numFmt formatCode="0" sourceLinked="1"/>
        <c:majorTickMark val="none"/>
        <c:minorTickMark val="none"/>
        <c:tickLblPos val="nextTo"/>
        <c:crossAx val="50381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Dashboard. (1).xlsx]Pivot Report!PivotTable16</c:name>
    <c:fmtId val="9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3378050220504054"/>
              <c:y val="0.15632237503980201"/>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9716912840574799"/>
                  <c:h val="0.24159621747007023"/>
                </c:manualLayout>
              </c15:layout>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7631031774146407E-2"/>
              <c:y val="-0.19771193951725935"/>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1020941467596946"/>
                  <c:h val="0.24159621747007023"/>
                </c:manualLayout>
              </c15:layout>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4670681431967184"/>
              <c:y val="0.17068829598369267"/>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119667729398658"/>
          <c:y val="0.13811368817533026"/>
          <c:w val="0.80215934819104528"/>
          <c:h val="0.70870455425820378"/>
        </c:manualLayout>
      </c:layout>
      <c:pieChart>
        <c:varyColors val="1"/>
        <c:ser>
          <c:idx val="0"/>
          <c:order val="0"/>
          <c:tx>
            <c:strRef>
              <c:f>'Pivot Report'!$G$62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635-486C-A387-2678DECAFAC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635-486C-A387-2678DECAFAC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635-486C-A387-2678DECAFAC3}"/>
              </c:ext>
            </c:extLst>
          </c:dPt>
          <c:dLbls>
            <c:dLbl>
              <c:idx val="0"/>
              <c:layout>
                <c:manualLayout>
                  <c:x val="-0.23378050220504054"/>
                  <c:y val="0.15632237503980201"/>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9716912840574799"/>
                      <c:h val="0.24159621747007023"/>
                    </c:manualLayout>
                  </c15:layout>
                </c:ext>
                <c:ext xmlns:c16="http://schemas.microsoft.com/office/drawing/2014/chart" uri="{C3380CC4-5D6E-409C-BE32-E72D297353CC}">
                  <c16:uniqueId val="{00000001-0635-486C-A387-2678DECAFAC3}"/>
                </c:ext>
              </c:extLst>
            </c:dLbl>
            <c:dLbl>
              <c:idx val="1"/>
              <c:layout>
                <c:manualLayout>
                  <c:x val="-2.7631031774146407E-2"/>
                  <c:y val="-0.19771193951725935"/>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1020941467596946"/>
                      <c:h val="0.24159621747007023"/>
                    </c:manualLayout>
                  </c15:layout>
                </c:ext>
                <c:ext xmlns:c16="http://schemas.microsoft.com/office/drawing/2014/chart" uri="{C3380CC4-5D6E-409C-BE32-E72D297353CC}">
                  <c16:uniqueId val="{00000003-0635-486C-A387-2678DECAFAC3}"/>
                </c:ext>
              </c:extLst>
            </c:dLbl>
            <c:dLbl>
              <c:idx val="2"/>
              <c:layout>
                <c:manualLayout>
                  <c:x val="0.24670681431967184"/>
                  <c:y val="0.17068829598369267"/>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35-486C-A387-2678DECAFAC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Report'!$F$63:$F$66</c:f>
              <c:strCache>
                <c:ptCount val="3"/>
                <c:pt idx="0">
                  <c:v>Female</c:v>
                </c:pt>
                <c:pt idx="1">
                  <c:v>Male</c:v>
                </c:pt>
                <c:pt idx="2">
                  <c:v>Other</c:v>
                </c:pt>
              </c:strCache>
            </c:strRef>
          </c:cat>
          <c:val>
            <c:numRef>
              <c:f>'Pivot Report'!$G$63:$G$66</c:f>
              <c:numCache>
                <c:formatCode>0</c:formatCode>
                <c:ptCount val="3"/>
                <c:pt idx="0">
                  <c:v>112</c:v>
                </c:pt>
                <c:pt idx="1">
                  <c:v>135</c:v>
                </c:pt>
                <c:pt idx="2">
                  <c:v>125</c:v>
                </c:pt>
              </c:numCache>
            </c:numRef>
          </c:val>
          <c:extLst>
            <c:ext xmlns:c16="http://schemas.microsoft.com/office/drawing/2014/chart" uri="{C3380CC4-5D6E-409C-BE32-E72D297353CC}">
              <c16:uniqueId val="{00000006-0635-486C-A387-2678DECAFAC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1719079375026688E-2"/>
          <c:y val="9.1442626251132409E-3"/>
          <c:w val="0.9421627366118871"/>
          <c:h val="0.16072304961032577"/>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Dashboard. (1).xlsx]Pivot Report!PivotTable17</c:name>
    <c:fmtId val="9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08774630963312"/>
          <c:y val="9.064824199511784E-2"/>
          <c:w val="0.70138062406230506"/>
          <c:h val="0.77332317647574"/>
        </c:manualLayout>
      </c:layout>
      <c:barChart>
        <c:barDir val="bar"/>
        <c:grouping val="clustered"/>
        <c:varyColors val="0"/>
        <c:ser>
          <c:idx val="0"/>
          <c:order val="0"/>
          <c:tx>
            <c:strRef>
              <c:f>'Pivot Report'!$G$68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Report'!$F$69:$F$75</c:f>
              <c:strCache>
                <c:ptCount val="6"/>
                <c:pt idx="0">
                  <c:v>Orthopedics</c:v>
                </c:pt>
                <c:pt idx="1">
                  <c:v>Cardiology</c:v>
                </c:pt>
                <c:pt idx="2">
                  <c:v>Oncology</c:v>
                </c:pt>
                <c:pt idx="3">
                  <c:v>Pediatrics</c:v>
                </c:pt>
                <c:pt idx="4">
                  <c:v>Neurology</c:v>
                </c:pt>
                <c:pt idx="5">
                  <c:v>Emergency</c:v>
                </c:pt>
              </c:strCache>
            </c:strRef>
          </c:cat>
          <c:val>
            <c:numRef>
              <c:f>'Pivot Report'!$G$69:$G$75</c:f>
              <c:numCache>
                <c:formatCode>0</c:formatCode>
                <c:ptCount val="6"/>
                <c:pt idx="0">
                  <c:v>70</c:v>
                </c:pt>
                <c:pt idx="1">
                  <c:v>68</c:v>
                </c:pt>
                <c:pt idx="2">
                  <c:v>65</c:v>
                </c:pt>
                <c:pt idx="3">
                  <c:v>58</c:v>
                </c:pt>
                <c:pt idx="4">
                  <c:v>56</c:v>
                </c:pt>
                <c:pt idx="5">
                  <c:v>55</c:v>
                </c:pt>
              </c:numCache>
            </c:numRef>
          </c:val>
          <c:extLst>
            <c:ext xmlns:c16="http://schemas.microsoft.com/office/drawing/2014/chart" uri="{C3380CC4-5D6E-409C-BE32-E72D297353CC}">
              <c16:uniqueId val="{00000000-9B80-4897-A47C-6936D0A4D03D}"/>
            </c:ext>
          </c:extLst>
        </c:ser>
        <c:dLbls>
          <c:showLegendKey val="0"/>
          <c:showVal val="0"/>
          <c:showCatName val="0"/>
          <c:showSerName val="0"/>
          <c:showPercent val="0"/>
          <c:showBubbleSize val="0"/>
        </c:dLbls>
        <c:gapWidth val="182"/>
        <c:axId val="653282768"/>
        <c:axId val="653279888"/>
      </c:barChart>
      <c:catAx>
        <c:axId val="65328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653279888"/>
        <c:crosses val="autoZero"/>
        <c:auto val="1"/>
        <c:lblAlgn val="ctr"/>
        <c:lblOffset val="100"/>
        <c:noMultiLvlLbl val="0"/>
      </c:catAx>
      <c:valAx>
        <c:axId val="653279888"/>
        <c:scaling>
          <c:orientation val="minMax"/>
        </c:scaling>
        <c:delete val="1"/>
        <c:axPos val="b"/>
        <c:numFmt formatCode="0" sourceLinked="1"/>
        <c:majorTickMark val="none"/>
        <c:minorTickMark val="none"/>
        <c:tickLblPos val="nextTo"/>
        <c:crossAx val="6532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Dashboard. (1).xlsx]Pivot Report!PivotTable4</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69734724606607E-2"/>
          <c:y val="1.4311211098612673E-2"/>
          <c:w val="0.96254978971002114"/>
          <c:h val="0.87795266199953981"/>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General</c:formatCode>
                <c:ptCount val="29"/>
                <c:pt idx="0">
                  <c:v>15</c:v>
                </c:pt>
                <c:pt idx="1">
                  <c:v>11</c:v>
                </c:pt>
                <c:pt idx="2">
                  <c:v>16</c:v>
                </c:pt>
                <c:pt idx="3">
                  <c:v>11</c:v>
                </c:pt>
                <c:pt idx="4">
                  <c:v>18</c:v>
                </c:pt>
                <c:pt idx="5">
                  <c:v>12</c:v>
                </c:pt>
                <c:pt idx="6">
                  <c:v>9</c:v>
                </c:pt>
                <c:pt idx="7">
                  <c:v>14</c:v>
                </c:pt>
                <c:pt idx="8">
                  <c:v>16</c:v>
                </c:pt>
                <c:pt idx="9">
                  <c:v>12</c:v>
                </c:pt>
                <c:pt idx="10">
                  <c:v>14</c:v>
                </c:pt>
                <c:pt idx="11">
                  <c:v>9</c:v>
                </c:pt>
                <c:pt idx="12">
                  <c:v>16</c:v>
                </c:pt>
                <c:pt idx="13">
                  <c:v>13</c:v>
                </c:pt>
                <c:pt idx="14">
                  <c:v>6</c:v>
                </c:pt>
                <c:pt idx="15">
                  <c:v>20</c:v>
                </c:pt>
                <c:pt idx="16">
                  <c:v>16</c:v>
                </c:pt>
                <c:pt idx="17">
                  <c:v>6</c:v>
                </c:pt>
                <c:pt idx="18">
                  <c:v>9</c:v>
                </c:pt>
                <c:pt idx="19">
                  <c:v>13</c:v>
                </c:pt>
                <c:pt idx="20">
                  <c:v>14</c:v>
                </c:pt>
                <c:pt idx="21">
                  <c:v>5</c:v>
                </c:pt>
                <c:pt idx="22">
                  <c:v>19</c:v>
                </c:pt>
                <c:pt idx="23">
                  <c:v>8</c:v>
                </c:pt>
                <c:pt idx="24">
                  <c:v>21</c:v>
                </c:pt>
                <c:pt idx="25">
                  <c:v>10</c:v>
                </c:pt>
                <c:pt idx="26">
                  <c:v>14</c:v>
                </c:pt>
                <c:pt idx="27">
                  <c:v>13</c:v>
                </c:pt>
                <c:pt idx="28">
                  <c:v>12</c:v>
                </c:pt>
              </c:numCache>
            </c:numRef>
          </c:val>
          <c:extLst>
            <c:ext xmlns:c16="http://schemas.microsoft.com/office/drawing/2014/chart" uri="{C3380CC4-5D6E-409C-BE32-E72D297353CC}">
              <c16:uniqueId val="{00000000-E70E-430F-B50B-47AE02B476E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73418687"/>
        <c:axId val="1334974223"/>
      </c:areaChart>
      <c:catAx>
        <c:axId val="13734186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4974223"/>
        <c:crosses val="autoZero"/>
        <c:auto val="1"/>
        <c:lblAlgn val="ctr"/>
        <c:lblOffset val="100"/>
        <c:noMultiLvlLbl val="0"/>
      </c:catAx>
      <c:valAx>
        <c:axId val="1334974223"/>
        <c:scaling>
          <c:orientation val="minMax"/>
        </c:scaling>
        <c:delete val="1"/>
        <c:axPos val="l"/>
        <c:numFmt formatCode="General" sourceLinked="1"/>
        <c:majorTickMark val="out"/>
        <c:minorTickMark val="none"/>
        <c:tickLblPos val="nextTo"/>
        <c:crossAx val="1373418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Dashboard. (1).xlsx]Pivot Report!PivotTable5</c:name>
    <c:fmtId val="4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10526068742152E-2"/>
          <c:y val="5.2789231221615968E-2"/>
          <c:w val="0.84964807524059494"/>
          <c:h val="0.76505540974044917"/>
        </c:manualLayout>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Report'!$L$5:$L$33</c:f>
              <c:numCache>
                <c:formatCode>0.00</c:formatCode>
                <c:ptCount val="29"/>
                <c:pt idx="0">
                  <c:v>27.733333333333334</c:v>
                </c:pt>
                <c:pt idx="1">
                  <c:v>28.545454545454547</c:v>
                </c:pt>
                <c:pt idx="2">
                  <c:v>33.125</c:v>
                </c:pt>
                <c:pt idx="3">
                  <c:v>26.90909090909091</c:v>
                </c:pt>
                <c:pt idx="4">
                  <c:v>33</c:v>
                </c:pt>
                <c:pt idx="5">
                  <c:v>25.583333333333332</c:v>
                </c:pt>
                <c:pt idx="6">
                  <c:v>30.666666666666668</c:v>
                </c:pt>
                <c:pt idx="7">
                  <c:v>27.5</c:v>
                </c:pt>
                <c:pt idx="8">
                  <c:v>33.3125</c:v>
                </c:pt>
                <c:pt idx="9">
                  <c:v>29.75</c:v>
                </c:pt>
                <c:pt idx="10">
                  <c:v>30.142857142857142</c:v>
                </c:pt>
                <c:pt idx="11">
                  <c:v>35</c:v>
                </c:pt>
                <c:pt idx="12">
                  <c:v>33.1875</c:v>
                </c:pt>
                <c:pt idx="13">
                  <c:v>34.846153846153847</c:v>
                </c:pt>
                <c:pt idx="14">
                  <c:v>27.166666666666668</c:v>
                </c:pt>
                <c:pt idx="15">
                  <c:v>33.950000000000003</c:v>
                </c:pt>
                <c:pt idx="16">
                  <c:v>36.25</c:v>
                </c:pt>
                <c:pt idx="17">
                  <c:v>33.333333333333336</c:v>
                </c:pt>
                <c:pt idx="18">
                  <c:v>27.555555555555557</c:v>
                </c:pt>
                <c:pt idx="19">
                  <c:v>36.846153846153847</c:v>
                </c:pt>
                <c:pt idx="20">
                  <c:v>31.857142857142858</c:v>
                </c:pt>
                <c:pt idx="21">
                  <c:v>31.4</c:v>
                </c:pt>
                <c:pt idx="22">
                  <c:v>25.368421052631579</c:v>
                </c:pt>
                <c:pt idx="23">
                  <c:v>22.5</c:v>
                </c:pt>
                <c:pt idx="24">
                  <c:v>35</c:v>
                </c:pt>
                <c:pt idx="25">
                  <c:v>35</c:v>
                </c:pt>
                <c:pt idx="26">
                  <c:v>27.357142857142858</c:v>
                </c:pt>
                <c:pt idx="27">
                  <c:v>32.46153846153846</c:v>
                </c:pt>
                <c:pt idx="28">
                  <c:v>25.166666666666668</c:v>
                </c:pt>
              </c:numCache>
            </c:numRef>
          </c:val>
          <c:extLst>
            <c:ext xmlns:c16="http://schemas.microsoft.com/office/drawing/2014/chart" uri="{C3380CC4-5D6E-409C-BE32-E72D297353CC}">
              <c16:uniqueId val="{00000000-8689-471A-A4E3-DAC1CCFAA6A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5580944"/>
        <c:axId val="525584304"/>
      </c:areaChart>
      <c:catAx>
        <c:axId val="5255809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5584304"/>
        <c:crosses val="autoZero"/>
        <c:auto val="1"/>
        <c:lblAlgn val="ctr"/>
        <c:lblOffset val="100"/>
        <c:noMultiLvlLbl val="0"/>
      </c:catAx>
      <c:valAx>
        <c:axId val="525584304"/>
        <c:scaling>
          <c:orientation val="minMax"/>
        </c:scaling>
        <c:delete val="1"/>
        <c:axPos val="l"/>
        <c:numFmt formatCode="0.00" sourceLinked="1"/>
        <c:majorTickMark val="out"/>
        <c:minorTickMark val="none"/>
        <c:tickLblPos val="nextTo"/>
        <c:crossAx val="525580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Dashboard. (1).xlsx]Pivot Report!PivotTable6</c:name>
    <c:fmtId val="6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Report'!$N$5:$N$33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Report'!$O$5:$O$33</c:f>
              <c:numCache>
                <c:formatCode>0.00</c:formatCode>
                <c:ptCount val="29"/>
                <c:pt idx="0">
                  <c:v>2.6666666666666665</c:v>
                </c:pt>
                <c:pt idx="1">
                  <c:v>2.6363636363636362</c:v>
                </c:pt>
                <c:pt idx="2">
                  <c:v>3.25</c:v>
                </c:pt>
                <c:pt idx="3">
                  <c:v>2.9090909090909092</c:v>
                </c:pt>
                <c:pt idx="4">
                  <c:v>3.2777777777777777</c:v>
                </c:pt>
                <c:pt idx="5">
                  <c:v>2.1666666666666665</c:v>
                </c:pt>
                <c:pt idx="6">
                  <c:v>3.1111111111111112</c:v>
                </c:pt>
                <c:pt idx="7">
                  <c:v>3.1428571428571428</c:v>
                </c:pt>
                <c:pt idx="8">
                  <c:v>2.625</c:v>
                </c:pt>
                <c:pt idx="9">
                  <c:v>3.25</c:v>
                </c:pt>
                <c:pt idx="10">
                  <c:v>2.7857142857142856</c:v>
                </c:pt>
                <c:pt idx="11">
                  <c:v>3.5555555555555554</c:v>
                </c:pt>
                <c:pt idx="12">
                  <c:v>2.75</c:v>
                </c:pt>
                <c:pt idx="13">
                  <c:v>2.8461538461538463</c:v>
                </c:pt>
                <c:pt idx="14">
                  <c:v>3.8333333333333335</c:v>
                </c:pt>
                <c:pt idx="15">
                  <c:v>2.85</c:v>
                </c:pt>
                <c:pt idx="16">
                  <c:v>2.875</c:v>
                </c:pt>
                <c:pt idx="17">
                  <c:v>3.5</c:v>
                </c:pt>
                <c:pt idx="18">
                  <c:v>3.4444444444444446</c:v>
                </c:pt>
                <c:pt idx="19">
                  <c:v>3.0769230769230771</c:v>
                </c:pt>
                <c:pt idx="20">
                  <c:v>3.0714285714285716</c:v>
                </c:pt>
                <c:pt idx="21">
                  <c:v>3.8</c:v>
                </c:pt>
                <c:pt idx="22">
                  <c:v>2.8421052631578947</c:v>
                </c:pt>
                <c:pt idx="23">
                  <c:v>3.125</c:v>
                </c:pt>
                <c:pt idx="24">
                  <c:v>2.4285714285714284</c:v>
                </c:pt>
                <c:pt idx="25">
                  <c:v>3.8</c:v>
                </c:pt>
                <c:pt idx="26">
                  <c:v>2.0714285714285716</c:v>
                </c:pt>
                <c:pt idx="27">
                  <c:v>2.6153846153846154</c:v>
                </c:pt>
                <c:pt idx="28">
                  <c:v>3</c:v>
                </c:pt>
              </c:numCache>
            </c:numRef>
          </c:val>
          <c:extLst>
            <c:ext xmlns:c16="http://schemas.microsoft.com/office/drawing/2014/chart" uri="{C3380CC4-5D6E-409C-BE32-E72D297353CC}">
              <c16:uniqueId val="{00000000-486D-4DE0-99F7-9B201EEFCE5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06380736"/>
        <c:axId val="1706375936"/>
      </c:areaChart>
      <c:catAx>
        <c:axId val="17063807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06375936"/>
        <c:crosses val="autoZero"/>
        <c:auto val="1"/>
        <c:lblAlgn val="ctr"/>
        <c:lblOffset val="100"/>
        <c:noMultiLvlLbl val="0"/>
      </c:catAx>
      <c:valAx>
        <c:axId val="1706375936"/>
        <c:scaling>
          <c:orientation val="minMax"/>
        </c:scaling>
        <c:delete val="1"/>
        <c:axPos val="l"/>
        <c:numFmt formatCode="0.00" sourceLinked="1"/>
        <c:majorTickMark val="out"/>
        <c:minorTickMark val="none"/>
        <c:tickLblPos val="nextTo"/>
        <c:crossAx val="17063807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4.xml"/><Relationship Id="rId1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image" Target="../media/image6.svg"/><Relationship Id="rId12" Type="http://schemas.openxmlformats.org/officeDocument/2006/relationships/hyperlink" Target="#'Average of Patient_wait_time'!A1"/><Relationship Id="rId17" Type="http://schemas.openxmlformats.org/officeDocument/2006/relationships/chart" Target="../charts/chart6.xml"/><Relationship Id="rId2" Type="http://schemas.openxmlformats.org/officeDocument/2006/relationships/image" Target="../media/image1.emf"/><Relationship Id="rId16" Type="http://schemas.openxmlformats.org/officeDocument/2006/relationships/image" Target="../media/image9.emf"/><Relationship Id="rId1" Type="http://schemas.openxmlformats.org/officeDocument/2006/relationships/chart" Target="../charts/chart2.xml"/><Relationship Id="rId6" Type="http://schemas.openxmlformats.org/officeDocument/2006/relationships/image" Target="../media/image5.png"/><Relationship Id="rId11" Type="http://schemas.openxmlformats.org/officeDocument/2006/relationships/chart" Target="../charts/chart3.xml"/><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hyperlink" Target="#'Distinct Count of Patient_id'!A1"/><Relationship Id="rId19"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hyperlink" Target="#'Average of Patient_satisfaction'!A1"/></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793837</xdr:colOff>
      <xdr:row>0</xdr:row>
      <xdr:rowOff>16140</xdr:rowOff>
    </xdr:from>
    <xdr:to>
      <xdr:col>3</xdr:col>
      <xdr:colOff>640044</xdr:colOff>
      <xdr:row>5</xdr:row>
      <xdr:rowOff>176018</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7365D76E-DB3C-2334-47E9-33D0F4B53B6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08262" y="16140"/>
              <a:ext cx="1849258" cy="1105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952500</xdr:colOff>
      <xdr:row>43</xdr:row>
      <xdr:rowOff>49027</xdr:rowOff>
    </xdr:from>
    <xdr:to>
      <xdr:col>4</xdr:col>
      <xdr:colOff>196102</xdr:colOff>
      <xdr:row>46</xdr:row>
      <xdr:rowOff>154081</xdr:rowOff>
    </xdr:to>
    <xdr:graphicFrame macro="">
      <xdr:nvGraphicFramePr>
        <xdr:cNvPr id="10" name="Chart 9">
          <a:extLst>
            <a:ext uri="{FF2B5EF4-FFF2-40B4-BE49-F238E27FC236}">
              <a16:creationId xmlns:a16="http://schemas.microsoft.com/office/drawing/2014/main" id="{94D4D9F8-42C1-7292-F658-6EFDC5D6A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174564</xdr:colOff>
      <xdr:row>0</xdr:row>
      <xdr:rowOff>33153</xdr:rowOff>
    </xdr:from>
    <xdr:to>
      <xdr:col>8</xdr:col>
      <xdr:colOff>588624</xdr:colOff>
      <xdr:row>5</xdr:row>
      <xdr:rowOff>170007</xdr:rowOff>
    </xdr:to>
    <xdr:sp macro="" textlink="">
      <xdr:nvSpPr>
        <xdr:cNvPr id="5" name="Rectangle: Rounded Corners 4">
          <a:extLst>
            <a:ext uri="{FF2B5EF4-FFF2-40B4-BE49-F238E27FC236}">
              <a16:creationId xmlns:a16="http://schemas.microsoft.com/office/drawing/2014/main" id="{F8F4BAE6-52BC-4551-9138-1DD40A96841D}"/>
            </a:ext>
          </a:extLst>
        </xdr:cNvPr>
        <xdr:cNvSpPr/>
      </xdr:nvSpPr>
      <xdr:spPr>
        <a:xfrm>
          <a:off x="4444761" y="33153"/>
          <a:ext cx="1024088" cy="1100056"/>
        </a:xfrm>
        <a:prstGeom prst="roundRect">
          <a:avLst>
            <a:gd name="adj" fmla="val 24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176587</xdr:colOff>
      <xdr:row>0</xdr:row>
      <xdr:rowOff>16054</xdr:rowOff>
    </xdr:from>
    <xdr:to>
      <xdr:col>8</xdr:col>
      <xdr:colOff>588623</xdr:colOff>
      <xdr:row>5</xdr:row>
      <xdr:rowOff>176587</xdr:rowOff>
    </xdr:to>
    <xdr:graphicFrame macro="">
      <xdr:nvGraphicFramePr>
        <xdr:cNvPr id="44" name="Chart 43">
          <a:extLst>
            <a:ext uri="{FF2B5EF4-FFF2-40B4-BE49-F238E27FC236}">
              <a16:creationId xmlns:a16="http://schemas.microsoft.com/office/drawing/2014/main" id="{9A2D4B23-67E8-423E-BA7A-E842D42C0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27244</xdr:rowOff>
    </xdr:from>
    <xdr:to>
      <xdr:col>7</xdr:col>
      <xdr:colOff>101671</xdr:colOff>
      <xdr:row>1</xdr:row>
      <xdr:rowOff>175046</xdr:rowOff>
    </xdr:to>
    <xdr:sp macro="" textlink="">
      <xdr:nvSpPr>
        <xdr:cNvPr id="2" name="Rectangle: Rounded Corners 1">
          <a:extLst>
            <a:ext uri="{FF2B5EF4-FFF2-40B4-BE49-F238E27FC236}">
              <a16:creationId xmlns:a16="http://schemas.microsoft.com/office/drawing/2014/main" id="{D374D0D1-972C-C03C-BC5A-4825AF1F6A08}"/>
            </a:ext>
          </a:extLst>
        </xdr:cNvPr>
        <xdr:cNvSpPr/>
      </xdr:nvSpPr>
      <xdr:spPr>
        <a:xfrm>
          <a:off x="0" y="27244"/>
          <a:ext cx="4371868" cy="34044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absolute">
    <xdr:from>
      <xdr:col>9</xdr:col>
      <xdr:colOff>21405</xdr:colOff>
      <xdr:row>0</xdr:row>
      <xdr:rowOff>42543</xdr:rowOff>
    </xdr:from>
    <xdr:to>
      <xdr:col>10</xdr:col>
      <xdr:colOff>408257</xdr:colOff>
      <xdr:row>5</xdr:row>
      <xdr:rowOff>180273</xdr:rowOff>
    </xdr:to>
    <xdr:sp macro="" textlink="">
      <xdr:nvSpPr>
        <xdr:cNvPr id="7" name="Rectangle: Rounded Corners 6">
          <a:extLst>
            <a:ext uri="{FF2B5EF4-FFF2-40B4-BE49-F238E27FC236}">
              <a16:creationId xmlns:a16="http://schemas.microsoft.com/office/drawing/2014/main" id="{BEAFF2C4-E6DD-4B4C-84DA-1090350F314D}"/>
            </a:ext>
          </a:extLst>
        </xdr:cNvPr>
        <xdr:cNvSpPr/>
      </xdr:nvSpPr>
      <xdr:spPr>
        <a:xfrm>
          <a:off x="5511658" y="42543"/>
          <a:ext cx="996880" cy="1100932"/>
        </a:xfrm>
        <a:prstGeom prst="roundRect">
          <a:avLst>
            <a:gd name="adj" fmla="val 70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33227</xdr:colOff>
      <xdr:row>2</xdr:row>
      <xdr:rowOff>37505</xdr:rowOff>
    </xdr:from>
    <xdr:to>
      <xdr:col>1</xdr:col>
      <xdr:colOff>188284</xdr:colOff>
      <xdr:row>16</xdr:row>
      <xdr:rowOff>58863</xdr:rowOff>
    </xdr:to>
    <xdr:sp macro="" textlink="">
      <xdr:nvSpPr>
        <xdr:cNvPr id="8" name="Rectangle: Rounded Corners 7">
          <a:extLst>
            <a:ext uri="{FF2B5EF4-FFF2-40B4-BE49-F238E27FC236}">
              <a16:creationId xmlns:a16="http://schemas.microsoft.com/office/drawing/2014/main" id="{2BFDE0AA-A280-4BC1-8BF3-67254825D765}"/>
            </a:ext>
          </a:extLst>
        </xdr:cNvPr>
        <xdr:cNvSpPr/>
      </xdr:nvSpPr>
      <xdr:spPr>
        <a:xfrm>
          <a:off x="33227" y="422786"/>
          <a:ext cx="765085" cy="2718324"/>
        </a:xfrm>
        <a:prstGeom prst="roundRect">
          <a:avLst>
            <a:gd name="adj" fmla="val 19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567837</xdr:colOff>
      <xdr:row>2</xdr:row>
      <xdr:rowOff>79375</xdr:rowOff>
    </xdr:from>
    <xdr:to>
      <xdr:col>2</xdr:col>
      <xdr:colOff>577362</xdr:colOff>
      <xdr:row>3</xdr:row>
      <xdr:rowOff>88899</xdr:rowOff>
    </xdr:to>
    <xdr:pic>
      <xdr:nvPicPr>
        <xdr:cNvPr id="9" name="Picture 8">
          <a:extLst>
            <a:ext uri="{FF2B5EF4-FFF2-40B4-BE49-F238E27FC236}">
              <a16:creationId xmlns:a16="http://schemas.microsoft.com/office/drawing/2014/main" id="{9599EDFE-CA9F-5CA1-D755-E56D3CC6CF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8414" y="457933"/>
          <a:ext cx="620102" cy="1988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260070</xdr:colOff>
      <xdr:row>2</xdr:row>
      <xdr:rowOff>53042</xdr:rowOff>
    </xdr:from>
    <xdr:to>
      <xdr:col>3</xdr:col>
      <xdr:colOff>148614</xdr:colOff>
      <xdr:row>5</xdr:row>
      <xdr:rowOff>156840</xdr:rowOff>
    </xdr:to>
    <xdr:sp macro="" textlink="">
      <xdr:nvSpPr>
        <xdr:cNvPr id="10" name="Rectangle: Rounded Corners 9">
          <a:extLst>
            <a:ext uri="{FF2B5EF4-FFF2-40B4-BE49-F238E27FC236}">
              <a16:creationId xmlns:a16="http://schemas.microsoft.com/office/drawing/2014/main" id="{F1AB3B77-53BB-7855-A057-6CB7B3830A5F}"/>
            </a:ext>
          </a:extLst>
        </xdr:cNvPr>
        <xdr:cNvSpPr/>
      </xdr:nvSpPr>
      <xdr:spPr>
        <a:xfrm>
          <a:off x="869670" y="434042"/>
          <a:ext cx="1107744" cy="675298"/>
        </a:xfrm>
        <a:prstGeom prst="roundRect">
          <a:avLst>
            <a:gd name="adj" fmla="val 130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3</xdr:col>
      <xdr:colOff>178288</xdr:colOff>
      <xdr:row>2</xdr:row>
      <xdr:rowOff>55378</xdr:rowOff>
    </xdr:from>
    <xdr:to>
      <xdr:col>5</xdr:col>
      <xdr:colOff>66832</xdr:colOff>
      <xdr:row>5</xdr:row>
      <xdr:rowOff>152400</xdr:rowOff>
    </xdr:to>
    <xdr:sp macro="" textlink="">
      <xdr:nvSpPr>
        <xdr:cNvPr id="11" name="Rectangle: Rounded Corners 10">
          <a:extLst>
            <a:ext uri="{FF2B5EF4-FFF2-40B4-BE49-F238E27FC236}">
              <a16:creationId xmlns:a16="http://schemas.microsoft.com/office/drawing/2014/main" id="{4310BF55-9D78-4F55-B126-C103F6B5C7A1}"/>
            </a:ext>
          </a:extLst>
        </xdr:cNvPr>
        <xdr:cNvSpPr/>
      </xdr:nvSpPr>
      <xdr:spPr>
        <a:xfrm>
          <a:off x="2007088" y="436378"/>
          <a:ext cx="1107744" cy="668522"/>
        </a:xfrm>
        <a:prstGeom prst="roundRect">
          <a:avLst>
            <a:gd name="adj" fmla="val 49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94142</xdr:colOff>
      <xdr:row>2</xdr:row>
      <xdr:rowOff>35550</xdr:rowOff>
    </xdr:from>
    <xdr:to>
      <xdr:col>7</xdr:col>
      <xdr:colOff>94142</xdr:colOff>
      <xdr:row>5</xdr:row>
      <xdr:rowOff>132698</xdr:rowOff>
    </xdr:to>
    <xdr:sp macro="" textlink="">
      <xdr:nvSpPr>
        <xdr:cNvPr id="12" name="Rectangle: Rounded Corners 11">
          <a:extLst>
            <a:ext uri="{FF2B5EF4-FFF2-40B4-BE49-F238E27FC236}">
              <a16:creationId xmlns:a16="http://schemas.microsoft.com/office/drawing/2014/main" id="{B4C1D9EB-DD93-434C-A413-5A6D556BB437}"/>
            </a:ext>
          </a:extLst>
        </xdr:cNvPr>
        <xdr:cNvSpPr/>
      </xdr:nvSpPr>
      <xdr:spPr>
        <a:xfrm>
          <a:off x="3144282" y="420831"/>
          <a:ext cx="1220057" cy="675069"/>
        </a:xfrm>
        <a:prstGeom prst="roundRect">
          <a:avLst>
            <a:gd name="adj" fmla="val 1309"/>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180977</xdr:colOff>
      <xdr:row>16</xdr:row>
      <xdr:rowOff>61744</xdr:rowOff>
    </xdr:from>
    <xdr:to>
      <xdr:col>17</xdr:col>
      <xdr:colOff>10564</xdr:colOff>
      <xdr:row>16</xdr:row>
      <xdr:rowOff>80061</xdr:rowOff>
    </xdr:to>
    <xdr:cxnSp macro="">
      <xdr:nvCxnSpPr>
        <xdr:cNvPr id="17" name="Straight Connector 16">
          <a:extLst>
            <a:ext uri="{FF2B5EF4-FFF2-40B4-BE49-F238E27FC236}">
              <a16:creationId xmlns:a16="http://schemas.microsoft.com/office/drawing/2014/main" id="{F98810C6-FDF3-0D91-6C08-DF1C2D42A1C3}"/>
            </a:ext>
          </a:extLst>
        </xdr:cNvPr>
        <xdr:cNvCxnSpPr/>
      </xdr:nvCxnSpPr>
      <xdr:spPr>
        <a:xfrm>
          <a:off x="2621089" y="3143991"/>
          <a:ext cx="7759953" cy="183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234449</xdr:colOff>
      <xdr:row>8</xdr:row>
      <xdr:rowOff>129198</xdr:rowOff>
    </xdr:from>
    <xdr:to>
      <xdr:col>7</xdr:col>
      <xdr:colOff>87912</xdr:colOff>
      <xdr:row>15</xdr:row>
      <xdr:rowOff>104774</xdr:rowOff>
    </xdr:to>
    <xdr:sp macro="" textlink="">
      <xdr:nvSpPr>
        <xdr:cNvPr id="22" name="Rectangle: Rounded Corners 21">
          <a:extLst>
            <a:ext uri="{FF2B5EF4-FFF2-40B4-BE49-F238E27FC236}">
              <a16:creationId xmlns:a16="http://schemas.microsoft.com/office/drawing/2014/main" id="{4D8FD4BE-87B5-4A9B-8228-F4D98FA678B4}"/>
            </a:ext>
          </a:extLst>
        </xdr:cNvPr>
        <xdr:cNvSpPr/>
      </xdr:nvSpPr>
      <xdr:spPr>
        <a:xfrm>
          <a:off x="844477" y="1670322"/>
          <a:ext cx="3513632" cy="1324059"/>
        </a:xfrm>
        <a:prstGeom prst="roundRect">
          <a:avLst>
            <a:gd name="adj" fmla="val 76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230442</xdr:colOff>
      <xdr:row>5</xdr:row>
      <xdr:rowOff>179778</xdr:rowOff>
    </xdr:from>
    <xdr:to>
      <xdr:col>7</xdr:col>
      <xdr:colOff>83905</xdr:colOff>
      <xdr:row>8</xdr:row>
      <xdr:rowOff>112471</xdr:rowOff>
    </xdr:to>
    <xdr:sp macro="" textlink="">
      <xdr:nvSpPr>
        <xdr:cNvPr id="23" name="Rectangle: Rounded Corners 22">
          <a:extLst>
            <a:ext uri="{FF2B5EF4-FFF2-40B4-BE49-F238E27FC236}">
              <a16:creationId xmlns:a16="http://schemas.microsoft.com/office/drawing/2014/main" id="{FFDF2EEA-E2AA-454E-A9F4-62A2365999B3}"/>
            </a:ext>
          </a:extLst>
        </xdr:cNvPr>
        <xdr:cNvSpPr/>
      </xdr:nvSpPr>
      <xdr:spPr>
        <a:xfrm>
          <a:off x="840470" y="1142980"/>
          <a:ext cx="3513632" cy="510615"/>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402982</xdr:colOff>
      <xdr:row>0</xdr:row>
      <xdr:rowOff>0</xdr:rowOff>
    </xdr:from>
    <xdr:to>
      <xdr:col>10</xdr:col>
      <xdr:colOff>415194</xdr:colOff>
      <xdr:row>15</xdr:row>
      <xdr:rowOff>79375</xdr:rowOff>
    </xdr:to>
    <xdr:cxnSp macro="">
      <xdr:nvCxnSpPr>
        <xdr:cNvPr id="25" name="Straight Connector 24">
          <a:extLst>
            <a:ext uri="{FF2B5EF4-FFF2-40B4-BE49-F238E27FC236}">
              <a16:creationId xmlns:a16="http://schemas.microsoft.com/office/drawing/2014/main" id="{73D04ACD-8614-EEA0-CDBE-A8C6D4D02ED9}"/>
            </a:ext>
          </a:extLst>
        </xdr:cNvPr>
        <xdr:cNvCxnSpPr/>
      </xdr:nvCxnSpPr>
      <xdr:spPr>
        <a:xfrm>
          <a:off x="6508751" y="0"/>
          <a:ext cx="12212" cy="291855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151135</xdr:colOff>
      <xdr:row>6</xdr:row>
      <xdr:rowOff>32106</xdr:rowOff>
    </xdr:from>
    <xdr:to>
      <xdr:col>10</xdr:col>
      <xdr:colOff>413683</xdr:colOff>
      <xdr:row>16</xdr:row>
      <xdr:rowOff>61743</xdr:rowOff>
    </xdr:to>
    <xdr:sp macro="" textlink="">
      <xdr:nvSpPr>
        <xdr:cNvPr id="29" name="Rectangle: Rounded Corners 28">
          <a:extLst>
            <a:ext uri="{FF2B5EF4-FFF2-40B4-BE49-F238E27FC236}">
              <a16:creationId xmlns:a16="http://schemas.microsoft.com/office/drawing/2014/main" id="{C0D45541-5A49-4873-9762-94E25CDA1213}"/>
            </a:ext>
          </a:extLst>
        </xdr:cNvPr>
        <xdr:cNvSpPr/>
      </xdr:nvSpPr>
      <xdr:spPr>
        <a:xfrm>
          <a:off x="4421332" y="1187949"/>
          <a:ext cx="2092632" cy="1956041"/>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xdr:col>
      <xdr:colOff>12212</xdr:colOff>
      <xdr:row>0</xdr:row>
      <xdr:rowOff>1</xdr:rowOff>
    </xdr:from>
    <xdr:to>
      <xdr:col>5</xdr:col>
      <xdr:colOff>482355</xdr:colOff>
      <xdr:row>1</xdr:row>
      <xdr:rowOff>79376</xdr:rowOff>
    </xdr:to>
    <xdr:sp macro="" textlink="">
      <xdr:nvSpPr>
        <xdr:cNvPr id="31" name="TextBox 30">
          <a:extLst>
            <a:ext uri="{FF2B5EF4-FFF2-40B4-BE49-F238E27FC236}">
              <a16:creationId xmlns:a16="http://schemas.microsoft.com/office/drawing/2014/main" id="{898EC340-B7AF-9028-BC93-7266A240053D}"/>
            </a:ext>
          </a:extLst>
        </xdr:cNvPr>
        <xdr:cNvSpPr txBox="1"/>
      </xdr:nvSpPr>
      <xdr:spPr>
        <a:xfrm>
          <a:off x="622789" y="1"/>
          <a:ext cx="2912451" cy="26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t>Hospital</a:t>
          </a:r>
          <a:r>
            <a:rPr lang="en-US" sz="1400"/>
            <a:t> Emergency Room Dashboard</a:t>
          </a:r>
        </a:p>
      </xdr:txBody>
    </xdr:sp>
    <xdr:clientData/>
  </xdr:twoCellAnchor>
  <xdr:twoCellAnchor editAs="oneCell">
    <xdr:from>
      <xdr:col>0</xdr:col>
      <xdr:colOff>116010</xdr:colOff>
      <xdr:row>0</xdr:row>
      <xdr:rowOff>0</xdr:rowOff>
    </xdr:from>
    <xdr:to>
      <xdr:col>0</xdr:col>
      <xdr:colOff>567836</xdr:colOff>
      <xdr:row>2</xdr:row>
      <xdr:rowOff>35314</xdr:rowOff>
    </xdr:to>
    <xdr:pic>
      <xdr:nvPicPr>
        <xdr:cNvPr id="33" name="Picture 32">
          <a:extLst>
            <a:ext uri="{FF2B5EF4-FFF2-40B4-BE49-F238E27FC236}">
              <a16:creationId xmlns:a16="http://schemas.microsoft.com/office/drawing/2014/main" id="{1E66BF48-C120-8A84-0C24-77704D5D2BD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0145" r="2898"/>
        <a:stretch>
          <a:fillRect/>
        </a:stretch>
      </xdr:blipFill>
      <xdr:spPr>
        <a:xfrm>
          <a:off x="116010" y="0"/>
          <a:ext cx="451826" cy="413872"/>
        </a:xfrm>
        <a:prstGeom prst="rect">
          <a:avLst/>
        </a:prstGeom>
      </xdr:spPr>
    </xdr:pic>
    <xdr:clientData/>
  </xdr:twoCellAnchor>
  <xdr:twoCellAnchor editAs="absolute">
    <xdr:from>
      <xdr:col>2</xdr:col>
      <xdr:colOff>433508</xdr:colOff>
      <xdr:row>1</xdr:row>
      <xdr:rowOff>24423</xdr:rowOff>
    </xdr:from>
    <xdr:to>
      <xdr:col>4</xdr:col>
      <xdr:colOff>213700</xdr:colOff>
      <xdr:row>2</xdr:row>
      <xdr:rowOff>6107</xdr:rowOff>
    </xdr:to>
    <xdr:sp macro="" textlink="">
      <xdr:nvSpPr>
        <xdr:cNvPr id="2050" name="Text Box 2">
          <a:extLst>
            <a:ext uri="{FF2B5EF4-FFF2-40B4-BE49-F238E27FC236}">
              <a16:creationId xmlns:a16="http://schemas.microsoft.com/office/drawing/2014/main" id="{A4C84BA1-5D9B-8A8B-D927-421599C99837}"/>
            </a:ext>
          </a:extLst>
        </xdr:cNvPr>
        <xdr:cNvSpPr txBox="1">
          <a:spLocks noChangeArrowheads="1"/>
        </xdr:cNvSpPr>
      </xdr:nvSpPr>
      <xdr:spPr bwMode="auto">
        <a:xfrm>
          <a:off x="1654662" y="213702"/>
          <a:ext cx="1001346" cy="170963"/>
        </a:xfrm>
        <a:prstGeom prst="rect">
          <a:avLst/>
        </a:prstGeom>
        <a:noFill/>
        <a:ln w="9525">
          <a:noFill/>
          <a:miter lim="800000"/>
          <a:headEnd/>
          <a:tailEnd/>
        </a:ln>
      </xdr:spPr>
      <xdr:txBody>
        <a:bodyPr vertOverflow="clip" wrap="square" lIns="0" tIns="0" rIns="0" bIns="0" anchor="t" upright="1"/>
        <a:lstStyle/>
        <a:p>
          <a:pPr algn="l" rtl="0">
            <a:defRPr sz="1000"/>
          </a:pPr>
          <a:r>
            <a:rPr lang="en-US" sz="900" b="0" i="0" u="none" strike="noStrike" baseline="0">
              <a:solidFill>
                <a:srgbClr val="000000"/>
              </a:solidFill>
              <a:latin typeface="Calibri"/>
              <a:cs typeface="Calibri"/>
            </a:rPr>
            <a:t>Monthly Report</a:t>
          </a:r>
        </a:p>
      </xdr:txBody>
    </xdr:sp>
    <xdr:clientData/>
  </xdr:twoCellAnchor>
  <xdr:twoCellAnchor editAs="absolute">
    <xdr:from>
      <xdr:col>1</xdr:col>
      <xdr:colOff>350584</xdr:colOff>
      <xdr:row>3</xdr:row>
      <xdr:rowOff>66312</xdr:rowOff>
    </xdr:from>
    <xdr:to>
      <xdr:col>3</xdr:col>
      <xdr:colOff>216258</xdr:colOff>
      <xdr:row>4</xdr:row>
      <xdr:rowOff>47995</xdr:rowOff>
    </xdr:to>
    <xdr:sp macro="" textlink="">
      <xdr:nvSpPr>
        <xdr:cNvPr id="2051" name="Text Box 3">
          <a:extLst>
            <a:ext uri="{FF2B5EF4-FFF2-40B4-BE49-F238E27FC236}">
              <a16:creationId xmlns:a16="http://schemas.microsoft.com/office/drawing/2014/main" id="{E35BEDF5-642B-5ADC-DF98-7128AAEC8CC8}"/>
            </a:ext>
          </a:extLst>
        </xdr:cNvPr>
        <xdr:cNvSpPr txBox="1">
          <a:spLocks noChangeArrowheads="1"/>
        </xdr:cNvSpPr>
      </xdr:nvSpPr>
      <xdr:spPr bwMode="auto">
        <a:xfrm>
          <a:off x="959741" y="631167"/>
          <a:ext cx="1083988" cy="169968"/>
        </a:xfrm>
        <a:prstGeom prst="rect">
          <a:avLst/>
        </a:prstGeom>
        <a:noFill/>
        <a:ln w="9525">
          <a:noFill/>
          <a:miter lim="800000"/>
          <a:headEnd/>
          <a:tailEnd/>
        </a:ln>
      </xdr:spPr>
      <xdr:txBody>
        <a:bodyPr vertOverflow="clip" wrap="square" lIns="0" tIns="0" rIns="0" bIns="0" anchor="t" upright="1"/>
        <a:lstStyle/>
        <a:p>
          <a:pPr algn="l" rtl="0">
            <a:defRPr sz="1000"/>
          </a:pPr>
          <a:r>
            <a:rPr lang="en-US" sz="1100" b="0" i="0" u="none" strike="noStrike" baseline="0">
              <a:solidFill>
                <a:srgbClr val="000000"/>
              </a:solidFill>
              <a:latin typeface="Calibri"/>
              <a:cs typeface="Calibri"/>
            </a:rPr>
            <a:t>    </a:t>
          </a:r>
          <a:r>
            <a:rPr lang="en-US" sz="900" b="0" i="0" u="none" strike="noStrike" baseline="0">
              <a:solidFill>
                <a:srgbClr val="000000"/>
              </a:solidFill>
              <a:latin typeface="Calibri"/>
              <a:cs typeface="Calibri"/>
            </a:rPr>
            <a:t>No. of Patients</a:t>
          </a:r>
          <a:endParaRPr lang="en-US" sz="900" b="0" i="0" u="none" strike="noStrike" baseline="0">
            <a:solidFill>
              <a:schemeClr val="dk1"/>
            </a:solidFill>
            <a:latin typeface="Calibri"/>
            <a:cs typeface="Calibri"/>
          </a:endParaRPr>
        </a:p>
      </xdr:txBody>
    </xdr:sp>
    <xdr:clientData/>
  </xdr:twoCellAnchor>
  <xdr:twoCellAnchor editAs="absolute">
    <xdr:from>
      <xdr:col>1</xdr:col>
      <xdr:colOff>603618</xdr:colOff>
      <xdr:row>2</xdr:row>
      <xdr:rowOff>105258</xdr:rowOff>
    </xdr:from>
    <xdr:to>
      <xdr:col>2</xdr:col>
      <xdr:colOff>426410</xdr:colOff>
      <xdr:row>3</xdr:row>
      <xdr:rowOff>86940</xdr:rowOff>
    </xdr:to>
    <xdr:sp macro="" textlink="'Pivot Report'!A5">
      <xdr:nvSpPr>
        <xdr:cNvPr id="34" name="Text Box 3">
          <a:extLst>
            <a:ext uri="{FF2B5EF4-FFF2-40B4-BE49-F238E27FC236}">
              <a16:creationId xmlns:a16="http://schemas.microsoft.com/office/drawing/2014/main" id="{E80B855D-CDF3-9390-C564-7AB4EA71AB0E}"/>
            </a:ext>
          </a:extLst>
        </xdr:cNvPr>
        <xdr:cNvSpPr txBox="1">
          <a:spLocks noChangeArrowheads="1"/>
        </xdr:cNvSpPr>
      </xdr:nvSpPr>
      <xdr:spPr bwMode="auto">
        <a:xfrm>
          <a:off x="1212775" y="481828"/>
          <a:ext cx="431949" cy="169967"/>
        </a:xfrm>
        <a:prstGeom prst="rect">
          <a:avLst/>
        </a:prstGeom>
        <a:noFill/>
        <a:ln w="9525">
          <a:noFill/>
          <a:miter lim="800000"/>
          <a:headEnd/>
          <a:tailEnd/>
        </a:ln>
      </xdr:spPr>
      <xdr:txBody>
        <a:bodyPr vertOverflow="clip" wrap="square" lIns="0" tIns="0" rIns="0" bIns="0" anchor="t" upright="1"/>
        <a:lstStyle/>
        <a:p>
          <a:pPr algn="l" rtl="0">
            <a:defRPr sz="1000"/>
          </a:pPr>
          <a:r>
            <a:rPr lang="en-US" sz="1100" b="0" i="0" u="none" strike="noStrike" baseline="0">
              <a:solidFill>
                <a:srgbClr val="000000"/>
              </a:solidFill>
              <a:latin typeface="Calibri"/>
              <a:ea typeface="Calibri"/>
              <a:cs typeface="Calibri"/>
            </a:rPr>
            <a:t>  </a:t>
          </a:r>
          <a:fld id="{621CBFC2-B360-4A5C-8F50-7CA94129D597}" type="TxLink">
            <a:rPr lang="en-US" sz="1100" b="0" i="0" u="none" strike="noStrike" baseline="0">
              <a:solidFill>
                <a:srgbClr val="000000"/>
              </a:solidFill>
              <a:latin typeface="Calibri"/>
              <a:ea typeface="Calibri"/>
              <a:cs typeface="Calibri"/>
            </a:rPr>
            <a:pPr algn="l" rtl="0">
              <a:defRPr sz="1000"/>
            </a:pPr>
            <a:t>4563</a:t>
          </a:fld>
          <a:endParaRPr lang="en-US" sz="1100" b="0" i="0" u="none" strike="noStrike" baseline="0">
            <a:solidFill>
              <a:schemeClr val="dk1"/>
            </a:solidFill>
            <a:latin typeface="Calibri"/>
            <a:cs typeface="Calibri"/>
          </a:endParaRPr>
        </a:p>
      </xdr:txBody>
    </xdr:sp>
    <xdr:clientData/>
  </xdr:twoCellAnchor>
  <xdr:twoCellAnchor editAs="absolute">
    <xdr:from>
      <xdr:col>3</xdr:col>
      <xdr:colOff>299041</xdr:colOff>
      <xdr:row>3</xdr:row>
      <xdr:rowOff>94142</xdr:rowOff>
    </xdr:from>
    <xdr:to>
      <xdr:col>5</xdr:col>
      <xdr:colOff>127369</xdr:colOff>
      <xdr:row>4</xdr:row>
      <xdr:rowOff>116293</xdr:rowOff>
    </xdr:to>
    <xdr:sp macro="" textlink="">
      <xdr:nvSpPr>
        <xdr:cNvPr id="16" name="TextBox 15">
          <a:extLst>
            <a:ext uri="{FF2B5EF4-FFF2-40B4-BE49-F238E27FC236}">
              <a16:creationId xmlns:a16="http://schemas.microsoft.com/office/drawing/2014/main" id="{4E5EEB4F-0AFD-1148-64A9-D66670165389}"/>
            </a:ext>
          </a:extLst>
        </xdr:cNvPr>
        <xdr:cNvSpPr txBox="1"/>
      </xdr:nvSpPr>
      <xdr:spPr>
        <a:xfrm>
          <a:off x="2126512" y="658997"/>
          <a:ext cx="1046642" cy="21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GB" sz="900"/>
            <a:t>Average Wait Time</a:t>
          </a:r>
        </a:p>
      </xdr:txBody>
    </xdr:sp>
    <xdr:clientData/>
  </xdr:twoCellAnchor>
  <xdr:twoCellAnchor editAs="absolute">
    <xdr:from>
      <xdr:col>5</xdr:col>
      <xdr:colOff>116294</xdr:colOff>
      <xdr:row>3</xdr:row>
      <xdr:rowOff>88607</xdr:rowOff>
    </xdr:from>
    <xdr:to>
      <xdr:col>7</xdr:col>
      <xdr:colOff>393184</xdr:colOff>
      <xdr:row>4</xdr:row>
      <xdr:rowOff>83068</xdr:rowOff>
    </xdr:to>
    <xdr:sp macro="" textlink="">
      <xdr:nvSpPr>
        <xdr:cNvPr id="18" name="TextBox 17">
          <a:extLst>
            <a:ext uri="{FF2B5EF4-FFF2-40B4-BE49-F238E27FC236}">
              <a16:creationId xmlns:a16="http://schemas.microsoft.com/office/drawing/2014/main" id="{115466FC-3334-8D5F-DA07-750F198A0AE5}"/>
            </a:ext>
          </a:extLst>
        </xdr:cNvPr>
        <xdr:cNvSpPr txBox="1"/>
      </xdr:nvSpPr>
      <xdr:spPr>
        <a:xfrm>
          <a:off x="3162079" y="653462"/>
          <a:ext cx="1495204" cy="18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GB" sz="900">
              <a:ln>
                <a:noFill/>
              </a:ln>
            </a:rPr>
            <a:t>Patient Satisfaction Score</a:t>
          </a:r>
        </a:p>
      </xdr:txBody>
    </xdr:sp>
    <xdr:clientData/>
  </xdr:twoCellAnchor>
  <xdr:twoCellAnchor editAs="absolute">
    <xdr:from>
      <xdr:col>5</xdr:col>
      <xdr:colOff>537165</xdr:colOff>
      <xdr:row>2</xdr:row>
      <xdr:rowOff>94142</xdr:rowOff>
    </xdr:from>
    <xdr:to>
      <xdr:col>6</xdr:col>
      <xdr:colOff>260276</xdr:colOff>
      <xdr:row>3</xdr:row>
      <xdr:rowOff>94143</xdr:rowOff>
    </xdr:to>
    <xdr:sp macro="" textlink="'Pivot Report'!A13">
      <xdr:nvSpPr>
        <xdr:cNvPr id="19" name="TextBox 18">
          <a:extLst>
            <a:ext uri="{FF2B5EF4-FFF2-40B4-BE49-F238E27FC236}">
              <a16:creationId xmlns:a16="http://schemas.microsoft.com/office/drawing/2014/main" id="{F5265D46-797D-F105-1AFC-C0DFB59B1180}"/>
            </a:ext>
          </a:extLst>
        </xdr:cNvPr>
        <xdr:cNvSpPr txBox="1"/>
      </xdr:nvSpPr>
      <xdr:spPr>
        <a:xfrm>
          <a:off x="3582950" y="470712"/>
          <a:ext cx="332268" cy="188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rtl="0" eaLnBrk="1" fontAlgn="auto" latinLnBrk="0" hangingPunct="1">
            <a:lnSpc>
              <a:spcPct val="100000"/>
            </a:lnSpc>
            <a:spcBef>
              <a:spcPts val="0"/>
            </a:spcBef>
            <a:spcAft>
              <a:spcPts val="0"/>
            </a:spcAft>
            <a:buClrTx/>
            <a:buSzTx/>
            <a:buFontTx/>
            <a:buNone/>
            <a:tabLst/>
            <a:defRPr/>
          </a:pPr>
          <a:fld id="{88A9F97B-54B0-4163-80D3-AA49494222B4}" type="TxLink">
            <a:rPr lang="en-US" sz="1100" b="0" i="0" u="none" strike="noStrike" baseline="0">
              <a:solidFill>
                <a:srgbClr val="000000"/>
              </a:solidFill>
              <a:effectLst/>
              <a:latin typeface="Calibri"/>
              <a:ea typeface="Calibri"/>
              <a:cs typeface="Calibri"/>
            </a:rPr>
            <a:pPr marL="0" marR="0" lvl="0" indent="0" defTabSz="914400" rtl="0" eaLnBrk="1" fontAlgn="auto" latinLnBrk="0" hangingPunct="1">
              <a:lnSpc>
                <a:spcPct val="100000"/>
              </a:lnSpc>
              <a:spcBef>
                <a:spcPts val="0"/>
              </a:spcBef>
              <a:spcAft>
                <a:spcPts val="0"/>
              </a:spcAft>
              <a:buClrTx/>
              <a:buSzTx/>
              <a:buFontTx/>
              <a:buNone/>
              <a:tabLst/>
              <a:defRPr/>
            </a:pPr>
            <a:t>2.93</a:t>
          </a:fld>
          <a:endParaRPr lang="en-GB" sz="1100"/>
        </a:p>
      </xdr:txBody>
    </xdr:sp>
    <xdr:clientData/>
  </xdr:twoCellAnchor>
  <xdr:twoCellAnchor editAs="absolute">
    <xdr:from>
      <xdr:col>3</xdr:col>
      <xdr:colOff>520554</xdr:colOff>
      <xdr:row>2</xdr:row>
      <xdr:rowOff>105217</xdr:rowOff>
    </xdr:from>
    <xdr:to>
      <xdr:col>4</xdr:col>
      <xdr:colOff>260277</xdr:colOff>
      <xdr:row>3</xdr:row>
      <xdr:rowOff>132906</xdr:rowOff>
    </xdr:to>
    <xdr:sp macro="" textlink="'Pivot Report'!A10">
      <xdr:nvSpPr>
        <xdr:cNvPr id="20" name="TextBox 19">
          <a:extLst>
            <a:ext uri="{FF2B5EF4-FFF2-40B4-BE49-F238E27FC236}">
              <a16:creationId xmlns:a16="http://schemas.microsoft.com/office/drawing/2014/main" id="{395021C3-8AF0-1BF9-43A6-7DBFE0C90780}"/>
            </a:ext>
          </a:extLst>
        </xdr:cNvPr>
        <xdr:cNvSpPr txBox="1"/>
      </xdr:nvSpPr>
      <xdr:spPr>
        <a:xfrm>
          <a:off x="2348025" y="481787"/>
          <a:ext cx="348880" cy="215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E0F1AD7-6068-4A3F-8B7F-CAFD5348D7EF}" type="TxLink">
            <a:rPr lang="en-US" sz="1100" b="0" i="0" u="none" strike="noStrike">
              <a:solidFill>
                <a:srgbClr val="000000"/>
              </a:solidFill>
              <a:latin typeface="Calibri"/>
              <a:ea typeface="Calibri"/>
              <a:cs typeface="Calibri"/>
            </a:rPr>
            <a:pPr/>
            <a:t>31.01</a:t>
          </a:fld>
          <a:endParaRPr lang="en-GB" sz="1100"/>
        </a:p>
      </xdr:txBody>
    </xdr:sp>
    <xdr:clientData/>
  </xdr:twoCellAnchor>
  <xdr:twoCellAnchor editAs="oneCell">
    <xdr:from>
      <xdr:col>2</xdr:col>
      <xdr:colOff>431947</xdr:colOff>
      <xdr:row>2</xdr:row>
      <xdr:rowOff>49840</xdr:rowOff>
    </xdr:from>
    <xdr:to>
      <xdr:col>3</xdr:col>
      <xdr:colOff>155057</xdr:colOff>
      <xdr:row>3</xdr:row>
      <xdr:rowOff>99680</xdr:rowOff>
    </xdr:to>
    <xdr:pic>
      <xdr:nvPicPr>
        <xdr:cNvPr id="26" name="Graphic 25" descr="Male profile with solid fill">
          <a:extLst>
            <a:ext uri="{FF2B5EF4-FFF2-40B4-BE49-F238E27FC236}">
              <a16:creationId xmlns:a16="http://schemas.microsoft.com/office/drawing/2014/main" id="{612E6BD5-8FEC-40FB-DDD6-65A6A5456E6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50261" y="426410"/>
          <a:ext cx="332267" cy="238125"/>
        </a:xfrm>
        <a:prstGeom prst="rect">
          <a:avLst/>
        </a:prstGeom>
      </xdr:spPr>
    </xdr:pic>
    <xdr:clientData/>
  </xdr:twoCellAnchor>
  <xdr:twoCellAnchor editAs="oneCell">
    <xdr:from>
      <xdr:col>4</xdr:col>
      <xdr:colOff>431948</xdr:colOff>
      <xdr:row>2</xdr:row>
      <xdr:rowOff>27689</xdr:rowOff>
    </xdr:from>
    <xdr:to>
      <xdr:col>5</xdr:col>
      <xdr:colOff>71990</xdr:colOff>
      <xdr:row>3</xdr:row>
      <xdr:rowOff>116293</xdr:rowOff>
    </xdr:to>
    <xdr:pic>
      <xdr:nvPicPr>
        <xdr:cNvPr id="28" name="Graphic 27" descr="Hourglass Finished with solid fill">
          <a:extLst>
            <a:ext uri="{FF2B5EF4-FFF2-40B4-BE49-F238E27FC236}">
              <a16:creationId xmlns:a16="http://schemas.microsoft.com/office/drawing/2014/main" id="{7A51CD45-279E-E16F-C020-3675ADED08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68576" y="404259"/>
          <a:ext cx="249199" cy="276889"/>
        </a:xfrm>
        <a:prstGeom prst="rect">
          <a:avLst/>
        </a:prstGeom>
      </xdr:spPr>
    </xdr:pic>
    <xdr:clientData/>
  </xdr:twoCellAnchor>
  <xdr:twoCellAnchor editAs="oneCell">
    <xdr:from>
      <xdr:col>6</xdr:col>
      <xdr:colOff>321192</xdr:colOff>
      <xdr:row>2</xdr:row>
      <xdr:rowOff>38765</xdr:rowOff>
    </xdr:from>
    <xdr:to>
      <xdr:col>7</xdr:col>
      <xdr:colOff>105218</xdr:colOff>
      <xdr:row>3</xdr:row>
      <xdr:rowOff>71990</xdr:rowOff>
    </xdr:to>
    <xdr:pic>
      <xdr:nvPicPr>
        <xdr:cNvPr id="32" name="Graphic 31" descr="Rating with solid fill">
          <a:extLst>
            <a:ext uri="{FF2B5EF4-FFF2-40B4-BE49-F238E27FC236}">
              <a16:creationId xmlns:a16="http://schemas.microsoft.com/office/drawing/2014/main" id="{F16BC24E-C48B-1B72-142D-BE813EB4429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976134" y="415335"/>
          <a:ext cx="393183" cy="221510"/>
        </a:xfrm>
        <a:prstGeom prst="rect">
          <a:avLst/>
        </a:prstGeom>
      </xdr:spPr>
    </xdr:pic>
    <xdr:clientData/>
  </xdr:twoCellAnchor>
  <xdr:twoCellAnchor editAs="oneCell">
    <xdr:from>
      <xdr:col>0</xdr:col>
      <xdr:colOff>63354</xdr:colOff>
      <xdr:row>2</xdr:row>
      <xdr:rowOff>64293</xdr:rowOff>
    </xdr:from>
    <xdr:to>
      <xdr:col>1</xdr:col>
      <xdr:colOff>161926</xdr:colOff>
      <xdr:row>16</xdr:row>
      <xdr:rowOff>58863</xdr:rowOff>
    </xdr:to>
    <mc:AlternateContent xmlns:mc="http://schemas.openxmlformats.org/markup-compatibility/2006" xmlns:a14="http://schemas.microsoft.com/office/drawing/2010/main">
      <mc:Choice Requires="a14">
        <xdr:graphicFrame macro="">
          <xdr:nvGraphicFramePr>
            <xdr:cNvPr id="36" name="Date (Month) 1">
              <a:extLst>
                <a:ext uri="{FF2B5EF4-FFF2-40B4-BE49-F238E27FC236}">
                  <a16:creationId xmlns:a16="http://schemas.microsoft.com/office/drawing/2014/main" id="{B7E0083B-31B6-437F-9234-0BA62180617F}"/>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3354" y="449574"/>
              <a:ext cx="708600" cy="25281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257174</xdr:colOff>
      <xdr:row>2</xdr:row>
      <xdr:rowOff>66452</xdr:rowOff>
    </xdr:from>
    <xdr:to>
      <xdr:col>3</xdr:col>
      <xdr:colOff>147483</xdr:colOff>
      <xdr:row>5</xdr:row>
      <xdr:rowOff>159544</xdr:rowOff>
    </xdr:to>
    <xdr:graphicFrame macro="">
      <xdr:nvGraphicFramePr>
        <xdr:cNvPr id="37" name="Chart 36">
          <a:hlinkClick xmlns:r="http://schemas.openxmlformats.org/officeDocument/2006/relationships" r:id="rId10"/>
          <a:extLst>
            <a:ext uri="{FF2B5EF4-FFF2-40B4-BE49-F238E27FC236}">
              <a16:creationId xmlns:a16="http://schemas.microsoft.com/office/drawing/2014/main" id="{73A04FDC-90AF-4DC5-85C2-842C5F669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176586</xdr:colOff>
      <xdr:row>2</xdr:row>
      <xdr:rowOff>69564</xdr:rowOff>
    </xdr:from>
    <xdr:to>
      <xdr:col>5</xdr:col>
      <xdr:colOff>64345</xdr:colOff>
      <xdr:row>5</xdr:row>
      <xdr:rowOff>153629</xdr:rowOff>
    </xdr:to>
    <xdr:graphicFrame macro="">
      <xdr:nvGraphicFramePr>
        <xdr:cNvPr id="6" name="Chart 5">
          <a:hlinkClick xmlns:r="http://schemas.openxmlformats.org/officeDocument/2006/relationships" r:id="rId12"/>
          <a:extLst>
            <a:ext uri="{FF2B5EF4-FFF2-40B4-BE49-F238E27FC236}">
              <a16:creationId xmlns:a16="http://schemas.microsoft.com/office/drawing/2014/main" id="{2AF17EE6-3C12-4070-8114-5EDA08B67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101672</xdr:colOff>
      <xdr:row>3</xdr:row>
      <xdr:rowOff>37458</xdr:rowOff>
    </xdr:from>
    <xdr:to>
      <xdr:col>7</xdr:col>
      <xdr:colOff>101670</xdr:colOff>
      <xdr:row>5</xdr:row>
      <xdr:rowOff>144481</xdr:rowOff>
    </xdr:to>
    <xdr:graphicFrame macro="">
      <xdr:nvGraphicFramePr>
        <xdr:cNvPr id="13" name="Chart 12">
          <a:hlinkClick xmlns:r="http://schemas.openxmlformats.org/officeDocument/2006/relationships" r:id="rId14"/>
          <a:extLst>
            <a:ext uri="{FF2B5EF4-FFF2-40B4-BE49-F238E27FC236}">
              <a16:creationId xmlns:a16="http://schemas.microsoft.com/office/drawing/2014/main" id="{F9170EF2-A0D5-486E-968D-74C2C5911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224746</xdr:colOff>
          <xdr:row>5</xdr:row>
          <xdr:rowOff>176585</xdr:rowOff>
        </xdr:from>
        <xdr:to>
          <xdr:col>7</xdr:col>
          <xdr:colOff>90968</xdr:colOff>
          <xdr:row>8</xdr:row>
          <xdr:rowOff>112372</xdr:rowOff>
        </xdr:to>
        <xdr:pic>
          <xdr:nvPicPr>
            <xdr:cNvPr id="38" name="Picture 37">
              <a:extLst>
                <a:ext uri="{FF2B5EF4-FFF2-40B4-BE49-F238E27FC236}">
                  <a16:creationId xmlns:a16="http://schemas.microsoft.com/office/drawing/2014/main" id="{0CF60B7F-5CFB-0CBC-B802-7BFC184D57E7}"/>
                </a:ext>
              </a:extLst>
            </xdr:cNvPr>
            <xdr:cNvPicPr>
              <a:picLocks noChangeAspect="1" noChangeArrowheads="1"/>
              <a:extLst>
                <a:ext uri="{84589F7E-364E-4C9E-8A38-B11213B215E9}">
                  <a14:cameraTool cellRange="'Pivot Report'!$A$44:$D$46" spid="_x0000_s2113"/>
                </a:ext>
              </a:extLst>
            </xdr:cNvPicPr>
          </xdr:nvPicPr>
          <xdr:blipFill>
            <a:blip xmlns:r="http://schemas.openxmlformats.org/officeDocument/2006/relationships" r:embed="rId16"/>
            <a:srcRect/>
            <a:stretch>
              <a:fillRect/>
            </a:stretch>
          </xdr:blipFill>
          <xdr:spPr bwMode="auto">
            <a:xfrm>
              <a:off x="834774" y="1139787"/>
              <a:ext cx="3526391" cy="513709"/>
            </a:xfrm>
            <a:prstGeom prst="rect">
              <a:avLst/>
            </a:prstGeom>
            <a:ln w="38100" cap="sq">
              <a:noFill/>
              <a:prstDash val="solid"/>
              <a:miter lim="800000"/>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a:extLst>
              <a:ext uri="{909E8E84-426E-40DD-AFC4-6F175D3DCCD1}">
                <a14:hiddenFill>
                  <a:solidFill>
                    <a:srgbClr val="FFFFFF"/>
                  </a:solidFill>
                </a14:hiddenFill>
              </a:ext>
            </a:extLst>
          </xdr:spPr>
        </xdr:pic>
        <xdr:clientData/>
      </xdr:twoCellAnchor>
    </mc:Choice>
    <mc:Fallback/>
  </mc:AlternateContent>
  <xdr:twoCellAnchor>
    <xdr:from>
      <xdr:col>1</xdr:col>
      <xdr:colOff>224747</xdr:colOff>
      <xdr:row>8</xdr:row>
      <xdr:rowOff>133777</xdr:rowOff>
    </xdr:from>
    <xdr:to>
      <xdr:col>7</xdr:col>
      <xdr:colOff>85618</xdr:colOff>
      <xdr:row>15</xdr:row>
      <xdr:rowOff>107021</xdr:rowOff>
    </xdr:to>
    <xdr:graphicFrame macro="">
      <xdr:nvGraphicFramePr>
        <xdr:cNvPr id="43" name="Chart 42">
          <a:extLst>
            <a:ext uri="{FF2B5EF4-FFF2-40B4-BE49-F238E27FC236}">
              <a16:creationId xmlns:a16="http://schemas.microsoft.com/office/drawing/2014/main" id="{B3EBA2CA-85C4-40AD-973E-32060482D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xdr:col>
      <xdr:colOff>219397</xdr:colOff>
      <xdr:row>15</xdr:row>
      <xdr:rowOff>64212</xdr:rowOff>
    </xdr:from>
    <xdr:to>
      <xdr:col>7</xdr:col>
      <xdr:colOff>90969</xdr:colOff>
      <xdr:row>16</xdr:row>
      <xdr:rowOff>69565</xdr:rowOff>
    </xdr:to>
    <xdr:sp macro="" textlink="">
      <xdr:nvSpPr>
        <xdr:cNvPr id="3" name="Rectangle: Rounded Corners 2">
          <a:extLst>
            <a:ext uri="{FF2B5EF4-FFF2-40B4-BE49-F238E27FC236}">
              <a16:creationId xmlns:a16="http://schemas.microsoft.com/office/drawing/2014/main" id="{0F909CA2-F49D-4A4A-93BC-5488E7A5A482}"/>
            </a:ext>
          </a:extLst>
        </xdr:cNvPr>
        <xdr:cNvSpPr/>
      </xdr:nvSpPr>
      <xdr:spPr>
        <a:xfrm>
          <a:off x="829425" y="2953819"/>
          <a:ext cx="3531741" cy="197993"/>
        </a:xfrm>
        <a:prstGeom prst="roundRect">
          <a:avLst>
            <a:gd name="adj" fmla="val 135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chemeClr val="tx1"/>
              </a:solidFill>
            </a:rPr>
            <a:t>No</a:t>
          </a:r>
          <a:r>
            <a:rPr lang="en-US" sz="1000" baseline="0">
              <a:solidFill>
                <a:schemeClr val="tx1"/>
              </a:solidFill>
            </a:rPr>
            <a:t> of Patient by Age group</a:t>
          </a:r>
          <a:endParaRPr lang="en-US" sz="1000">
            <a:solidFill>
              <a:schemeClr val="tx1"/>
            </a:solidFill>
          </a:endParaRPr>
        </a:p>
      </xdr:txBody>
    </xdr:sp>
    <xdr:clientData/>
  </xdr:twoCellAnchor>
  <xdr:twoCellAnchor>
    <xdr:from>
      <xdr:col>9</xdr:col>
      <xdr:colOff>16053</xdr:colOff>
      <xdr:row>0</xdr:row>
      <xdr:rowOff>37459</xdr:rowOff>
    </xdr:from>
    <xdr:to>
      <xdr:col>10</xdr:col>
      <xdr:colOff>401334</xdr:colOff>
      <xdr:row>5</xdr:row>
      <xdr:rowOff>187291</xdr:rowOff>
    </xdr:to>
    <xdr:graphicFrame macro="">
      <xdr:nvGraphicFramePr>
        <xdr:cNvPr id="45" name="Chart 44">
          <a:extLst>
            <a:ext uri="{FF2B5EF4-FFF2-40B4-BE49-F238E27FC236}">
              <a16:creationId xmlns:a16="http://schemas.microsoft.com/office/drawing/2014/main" id="{9FE97A6E-F110-4F55-8220-3DA7DC3AF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181938</xdr:colOff>
      <xdr:row>5</xdr:row>
      <xdr:rowOff>42808</xdr:rowOff>
    </xdr:from>
    <xdr:to>
      <xdr:col>8</xdr:col>
      <xdr:colOff>588623</xdr:colOff>
      <xdr:row>5</xdr:row>
      <xdr:rowOff>192640</xdr:rowOff>
    </xdr:to>
    <xdr:sp macro="" textlink="">
      <xdr:nvSpPr>
        <xdr:cNvPr id="47" name="Rectangle 46">
          <a:extLst>
            <a:ext uri="{FF2B5EF4-FFF2-40B4-BE49-F238E27FC236}">
              <a16:creationId xmlns:a16="http://schemas.microsoft.com/office/drawing/2014/main" id="{5624D197-8F7F-6DB4-163C-C2052A1F7129}"/>
            </a:ext>
          </a:extLst>
        </xdr:cNvPr>
        <xdr:cNvSpPr/>
      </xdr:nvSpPr>
      <xdr:spPr>
        <a:xfrm>
          <a:off x="4452135" y="1006010"/>
          <a:ext cx="1016713" cy="1498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500">
              <a:solidFill>
                <a:schemeClr val="tx1"/>
              </a:solidFill>
            </a:rPr>
            <a:t>Patient attended within Time</a:t>
          </a:r>
        </a:p>
      </xdr:txBody>
    </xdr:sp>
    <xdr:clientData/>
  </xdr:twoCellAnchor>
  <xdr:twoCellAnchor>
    <xdr:from>
      <xdr:col>9</xdr:col>
      <xdr:colOff>16054</xdr:colOff>
      <xdr:row>5</xdr:row>
      <xdr:rowOff>32107</xdr:rowOff>
    </xdr:from>
    <xdr:to>
      <xdr:col>10</xdr:col>
      <xdr:colOff>412036</xdr:colOff>
      <xdr:row>5</xdr:row>
      <xdr:rowOff>181939</xdr:rowOff>
    </xdr:to>
    <xdr:sp macro="" textlink="">
      <xdr:nvSpPr>
        <xdr:cNvPr id="48" name="Rectangle 47">
          <a:extLst>
            <a:ext uri="{FF2B5EF4-FFF2-40B4-BE49-F238E27FC236}">
              <a16:creationId xmlns:a16="http://schemas.microsoft.com/office/drawing/2014/main" id="{A3E439B4-6B72-3877-E11B-8353E6835C3D}"/>
            </a:ext>
          </a:extLst>
        </xdr:cNvPr>
        <xdr:cNvSpPr/>
      </xdr:nvSpPr>
      <xdr:spPr>
        <a:xfrm>
          <a:off x="5506307" y="995309"/>
          <a:ext cx="1006010" cy="1498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GB" sz="600">
              <a:solidFill>
                <a:schemeClr val="tx1"/>
              </a:solidFill>
              <a:effectLst/>
              <a:latin typeface="+mn-lt"/>
              <a:ea typeface="+mn-ea"/>
              <a:cs typeface="+mn-cs"/>
            </a:rPr>
            <a:t>No. Patients</a:t>
          </a:r>
          <a:r>
            <a:rPr lang="en-GB" sz="600" baseline="0">
              <a:solidFill>
                <a:schemeClr val="tx1"/>
              </a:solidFill>
              <a:effectLst/>
              <a:latin typeface="+mn-lt"/>
              <a:ea typeface="+mn-ea"/>
              <a:cs typeface="+mn-cs"/>
            </a:rPr>
            <a:t> by Gender</a:t>
          </a:r>
          <a:endParaRPr lang="en-GB" sz="600">
            <a:solidFill>
              <a:schemeClr val="tx1"/>
            </a:solidFill>
            <a:effectLst/>
          </a:endParaRPr>
        </a:p>
      </xdr:txBody>
    </xdr:sp>
    <xdr:clientData/>
  </xdr:twoCellAnchor>
  <xdr:twoCellAnchor>
    <xdr:from>
      <xdr:col>7</xdr:col>
      <xdr:colOff>144480</xdr:colOff>
      <xdr:row>6</xdr:row>
      <xdr:rowOff>5352</xdr:rowOff>
    </xdr:from>
    <xdr:to>
      <xdr:col>10</xdr:col>
      <xdr:colOff>529762</xdr:colOff>
      <xdr:row>16</xdr:row>
      <xdr:rowOff>74916</xdr:rowOff>
    </xdr:to>
    <xdr:graphicFrame macro="">
      <xdr:nvGraphicFramePr>
        <xdr:cNvPr id="49" name="Chart 48">
          <a:extLst>
            <a:ext uri="{FF2B5EF4-FFF2-40B4-BE49-F238E27FC236}">
              <a16:creationId xmlns:a16="http://schemas.microsoft.com/office/drawing/2014/main" id="{9BC045BD-3766-42CB-8578-3E71D37F5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197992</xdr:colOff>
      <xdr:row>14</xdr:row>
      <xdr:rowOff>181939</xdr:rowOff>
    </xdr:from>
    <xdr:to>
      <xdr:col>10</xdr:col>
      <xdr:colOff>401334</xdr:colOff>
      <xdr:row>16</xdr:row>
      <xdr:rowOff>53512</xdr:rowOff>
    </xdr:to>
    <xdr:sp macro="" textlink="">
      <xdr:nvSpPr>
        <xdr:cNvPr id="50" name="Rectangle 49">
          <a:extLst>
            <a:ext uri="{FF2B5EF4-FFF2-40B4-BE49-F238E27FC236}">
              <a16:creationId xmlns:a16="http://schemas.microsoft.com/office/drawing/2014/main" id="{635450A7-D3C6-6375-50F8-B9E034FDD7B2}"/>
            </a:ext>
          </a:extLst>
        </xdr:cNvPr>
        <xdr:cNvSpPr/>
      </xdr:nvSpPr>
      <xdr:spPr>
        <a:xfrm>
          <a:off x="4468189" y="2878905"/>
          <a:ext cx="2033426" cy="256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GB" sz="800">
              <a:solidFill>
                <a:schemeClr val="tx1"/>
              </a:solidFill>
            </a:rPr>
            <a:t>No.</a:t>
          </a:r>
          <a:r>
            <a:rPr lang="en-GB" sz="800" baseline="0">
              <a:solidFill>
                <a:schemeClr val="tx1"/>
              </a:solidFill>
            </a:rPr>
            <a:t> of Patient by Department Referral</a:t>
          </a:r>
          <a:endParaRPr lang="en-GB" sz="8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0</xdr:row>
      <xdr:rowOff>19051</xdr:rowOff>
    </xdr:from>
    <xdr:to>
      <xdr:col>21</xdr:col>
      <xdr:colOff>121831</xdr:colOff>
      <xdr:row>28</xdr:row>
      <xdr:rowOff>38101</xdr:rowOff>
    </xdr:to>
    <xdr:graphicFrame macro="">
      <xdr:nvGraphicFramePr>
        <xdr:cNvPr id="12" name="Chart 11">
          <a:extLst>
            <a:ext uri="{FF2B5EF4-FFF2-40B4-BE49-F238E27FC236}">
              <a16:creationId xmlns:a16="http://schemas.microsoft.com/office/drawing/2014/main" id="{CCDC4725-F276-433C-89D9-AF3FA7925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0</xdr:row>
      <xdr:rowOff>38100</xdr:rowOff>
    </xdr:from>
    <xdr:to>
      <xdr:col>1</xdr:col>
      <xdr:colOff>9525</xdr:colOff>
      <xdr:row>3</xdr:row>
      <xdr:rowOff>47625</xdr:rowOff>
    </xdr:to>
    <xdr:pic>
      <xdr:nvPicPr>
        <xdr:cNvPr id="19" name="Graphic 18" descr="Work from home house with solid fill">
          <a:hlinkClick xmlns:r="http://schemas.openxmlformats.org/officeDocument/2006/relationships" r:id="rId2"/>
          <a:extLst>
            <a:ext uri="{FF2B5EF4-FFF2-40B4-BE49-F238E27FC236}">
              <a16:creationId xmlns:a16="http://schemas.microsoft.com/office/drawing/2014/main" id="{C71FB870-266C-E892-3210-2A0F7A0D2D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38100"/>
          <a:ext cx="581025" cy="5810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102054</xdr:colOff>
      <xdr:row>0</xdr:row>
      <xdr:rowOff>0</xdr:rowOff>
    </xdr:from>
    <xdr:to>
      <xdr:col>22</xdr:col>
      <xdr:colOff>374197</xdr:colOff>
      <xdr:row>29</xdr:row>
      <xdr:rowOff>104775</xdr:rowOff>
    </xdr:to>
    <xdr:graphicFrame macro="">
      <xdr:nvGraphicFramePr>
        <xdr:cNvPr id="2" name="Chart 1">
          <a:extLst>
            <a:ext uri="{FF2B5EF4-FFF2-40B4-BE49-F238E27FC236}">
              <a16:creationId xmlns:a16="http://schemas.microsoft.com/office/drawing/2014/main" id="{B1C456EA-5C2A-4B35-A9E6-B4CB70B25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28575</xdr:rowOff>
    </xdr:from>
    <xdr:to>
      <xdr:col>0</xdr:col>
      <xdr:colOff>581025</xdr:colOff>
      <xdr:row>3</xdr:row>
      <xdr:rowOff>38100</xdr:rowOff>
    </xdr:to>
    <xdr:pic>
      <xdr:nvPicPr>
        <xdr:cNvPr id="10" name="Graphic 9" descr="Work from home house with solid fill">
          <a:hlinkClick xmlns:r="http://schemas.openxmlformats.org/officeDocument/2006/relationships" r:id="rId2"/>
          <a:extLst>
            <a:ext uri="{FF2B5EF4-FFF2-40B4-BE49-F238E27FC236}">
              <a16:creationId xmlns:a16="http://schemas.microsoft.com/office/drawing/2014/main" id="{97C57A06-8596-4219-B790-15DD1D1F55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28575"/>
          <a:ext cx="581025" cy="581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38100</xdr:colOff>
      <xdr:row>0</xdr:row>
      <xdr:rowOff>38100</xdr:rowOff>
    </xdr:from>
    <xdr:to>
      <xdr:col>18</xdr:col>
      <xdr:colOff>38100</xdr:colOff>
      <xdr:row>23</xdr:row>
      <xdr:rowOff>76200</xdr:rowOff>
    </xdr:to>
    <xdr:graphicFrame macro="">
      <xdr:nvGraphicFramePr>
        <xdr:cNvPr id="2" name="Chart 1">
          <a:extLst>
            <a:ext uri="{FF2B5EF4-FFF2-40B4-BE49-F238E27FC236}">
              <a16:creationId xmlns:a16="http://schemas.microsoft.com/office/drawing/2014/main" id="{C0BB4489-2612-4503-BF8D-B2566BA8A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580582</xdr:colOff>
      <xdr:row>4</xdr:row>
      <xdr:rowOff>2880</xdr:rowOff>
    </xdr:to>
    <xdr:pic>
      <xdr:nvPicPr>
        <xdr:cNvPr id="4" name="Graphic 3" descr="Work from home house with solid fill">
          <a:hlinkClick xmlns:r="http://schemas.openxmlformats.org/officeDocument/2006/relationships" r:id="rId2"/>
          <a:extLst>
            <a:ext uri="{FF2B5EF4-FFF2-40B4-BE49-F238E27FC236}">
              <a16:creationId xmlns:a16="http://schemas.microsoft.com/office/drawing/2014/main" id="{7077F86B-B28E-4FF7-ABD4-38E1CEA0C37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90500"/>
          <a:ext cx="580582" cy="5743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19791668" createdVersion="5" refreshedVersion="8" minRefreshableVersion="3" recordCount="0" supportSubquery="1" supportAdvancedDrill="1" xr:uid="{035171F3-9040-4A7F-999E-BA40202D4E4A}">
  <cacheSource type="external" connectionId="4"/>
  <cacheFields count="3">
    <cacheField name="[Measures].[Distinct Count of Patient_id]" caption="Distinct Count of Patient_id" numFmtId="0" hierarchy="24" level="32767"/>
    <cacheField name="[Calendar].[Date (Day)].[Date (Day)]" caption="Date (Day)" numFmtId="0" hierarchy="3"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Date (Month)].[Date (Month)]" caption="Date (Month)" numFmtId="0" hierarchy="1" level="1">
      <sharedItems containsSemiMixedTypes="0" containsNonDate="0" containsString="0"/>
    </cacheField>
  </cacheFields>
  <cacheHierarchies count="37">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0" memberValueDatatype="130" unbalanced="0"/>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0" memberValueDatatype="130" unbalanced="0"/>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hidden="1">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20023145" createdVersion="5" refreshedVersion="8" minRefreshableVersion="3" recordCount="0" supportSubquery="1" supportAdvancedDrill="1" xr:uid="{83939862-356D-4351-9DB7-7086A16F3608}">
  <cacheSource type="external" connectionId="4"/>
  <cacheFields count="2">
    <cacheField name="[Measures].[Distinct Count of Patient_id]" caption="Distinct Count of Patient_id" numFmtId="0" hierarchy="24" level="32767"/>
    <cacheField name="[Calendar].[Date (Month)].[Date (Month)]" caption="Date (Month)" numFmtId="0" hierarchy="1" level="1">
      <sharedItems containsSemiMixedTypes="0" containsNonDate="0" containsString="0"/>
    </cacheField>
  </cacheFields>
  <cacheHierarchies count="37">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0" memberValueDatatype="130" unbalanced="0"/>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0" memberValueDatatype="130" unbalanced="0"/>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hidden="1">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20138891" createdVersion="5" refreshedVersion="8" minRefreshableVersion="3" recordCount="0" supportSubquery="1" supportAdvancedDrill="1" xr:uid="{5F55359B-B3DF-4EA2-ABE0-D618FB82F42B}">
  <cacheSource type="external" connectionId="4"/>
  <cacheFields count="2">
    <cacheField name="[Measures].[Average of Patient_wait_time]" caption="Average of Patient_wait_time" numFmtId="0" hierarchy="26" level="32767"/>
    <cacheField name="[Calendar].[Date (Month)].[Date (Month)]" caption="Date (Month)" numFmtId="0" hierarchy="1" level="1">
      <sharedItems containsSemiMixedTypes="0" containsNonDate="0" containsString="0"/>
    </cacheField>
  </cacheFields>
  <cacheHierarchies count="37">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0" memberValueDatatype="130" unbalanced="0"/>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0" memberValueDatatype="130" unbalanced="0"/>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hidden="1">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20370368" createdVersion="5" refreshedVersion="8" minRefreshableVersion="3" recordCount="0" supportSubquery="1" supportAdvancedDrill="1" xr:uid="{00571634-F6AD-401B-8FF8-F24BF76E2809}">
  <cacheSource type="external" connectionId="4"/>
  <cacheFields count="2">
    <cacheField name="[Measures].[Average of Patient_satisfaction]" caption="Average of Patient_satisfaction" numFmtId="0" hierarchy="28" level="32767"/>
    <cacheField name="[Calendar].[Date (Month)].[Date (Month)]" caption="Date (Month)" numFmtId="0" hierarchy="1" level="1">
      <sharedItems containsSemiMixedTypes="0" containsNonDate="0" containsString="0"/>
    </cacheField>
  </cacheFields>
  <cacheHierarchies count="37">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0" memberValueDatatype="130" unbalanced="0"/>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0" memberValueDatatype="130" unbalanced="0"/>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hidden="1">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20949076" createdVersion="5" refreshedVersion="8" minRefreshableVersion="3" recordCount="0" supportSubquery="1" supportAdvancedDrill="1" xr:uid="{EF58F749-79F2-43A6-8836-E130099A7956}">
  <cacheSource type="external" connectionId="4"/>
  <cacheFields count="3">
    <cacheField name="[Calendar].[Date (Day)].[Date (Day)]" caption="Date (Day)" numFmtId="0" hierarchy="3"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Date (Month)].[Date (Month)]" caption="Date (Month)" numFmtId="0" hierarchy="1" level="1">
      <sharedItems containsSemiMixedTypes="0" containsNonDate="0" containsString="0"/>
    </cacheField>
    <cacheField name="[Measures].[Average of Patient_wait_time]" caption="Average of Patient_wait_time" numFmtId="0" hierarchy="26" level="32767"/>
  </cacheFields>
  <cacheHierarchies count="37">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0" memberValueDatatype="130" unbalanced="0"/>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0" memberValueDatatype="130" unbalanced="0"/>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hidden="1">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21527777" createdVersion="5" refreshedVersion="8" minRefreshableVersion="3" recordCount="0" supportSubquery="1" supportAdvancedDrill="1" xr:uid="{73553B37-701F-499B-92AA-76263BFAD619}">
  <cacheSource type="external" connectionId="4"/>
  <cacheFields count="3">
    <cacheField name="[Calendar].[Date (Day)].[Date (Day)]" caption="Date (Day)" numFmtId="0" hierarchy="3"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Date (Month)].[Date (Month)]" caption="Date (Month)" numFmtId="0" hierarchy="1" level="1">
      <sharedItems containsSemiMixedTypes="0" containsNonDate="0" containsString="0"/>
    </cacheField>
    <cacheField name="[Measures].[Average of Patient_satisfaction]" caption="Average of Patient_satisfaction" numFmtId="0" hierarchy="28" level="32767"/>
  </cacheFields>
  <cacheHierarchies count="37">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0" memberValueDatatype="130" unbalanced="0"/>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0" memberValueDatatype="130" unbalanced="0"/>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hidden="1">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21990739" createdVersion="5" refreshedVersion="8" minRefreshableVersion="3" recordCount="0" supportSubquery="1" supportAdvancedDrill="1" xr:uid="{1DECADBE-CE1F-4676-BCE7-24CEA1E656E5}">
  <cacheSource type="external" connectionId="4"/>
  <cacheFields count="4">
    <cacheField name="[Calendar].[Date (Month)].[Date (Month)]" caption="Date (Month)" numFmtId="0" hierarchy="1" level="1">
      <sharedItems containsSemiMixedTypes="0" containsNonDate="0" containsString="0"/>
    </cacheField>
    <cacheField name="[Measures].[Count of Patient_admission_flag]" caption="Count of Patient_admission_flag" numFmtId="0" hierarchy="29" level="32767"/>
    <cacheField name="[patient_data_with_wait_time].[Patient_admission_flag].[Patient_admission_flag]" caption="Patient_admission_flag" numFmtId="0" hierarchy="10" level="1">
      <sharedItems count="2">
        <s v="Admitted"/>
        <s v="Not Admitted"/>
      </sharedItems>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2" memberValueDatatype="130" unbalanced="0">
      <fieldsUsage count="2">
        <fieldUsage x="-1"/>
        <fieldUsage x="2"/>
      </fieldsUsage>
    </cacheHierarchy>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0" memberValueDatatype="130" unbalanced="0"/>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hidden="1">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hidden="1">
      <extLst>
        <ext xmlns:x15="http://schemas.microsoft.com/office/spreadsheetml/2010/11/main" uri="{B97F6D7D-B522-45F9-BDA1-12C45D357490}">
          <x15:cacheHierarchy aggregatedColumn="9"/>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22569447" createdVersion="5" refreshedVersion="8" minRefreshableVersion="3" recordCount="0" supportSubquery="1" supportAdvancedDrill="1" xr:uid="{B2326757-8597-4583-8732-AB84BA4D0948}">
  <cacheSource type="external" connectionId="4"/>
  <cacheFields count="3">
    <cacheField name="[Calendar].[Date (Month)].[Date (Month)]" caption="Date (Month)" numFmtId="0" hierarchy="1" level="1">
      <sharedItems containsSemiMixedTypes="0" containsNonDate="0" containsString="0"/>
    </cacheField>
    <cacheField name="[Measures].[Count of Patient_admission_flag]" caption="Count of Patient_admission_flag" numFmtId="0" hierarchy="29" level="32767"/>
    <cacheField name="[patient_data_with_wait_time].[Patient_admission_flag].[Patient_admission_flag]" caption="Patient_admission_flag" numFmtId="0" hierarchy="10" level="1">
      <sharedItems count="2">
        <s v="Admitted"/>
        <s v="Not Admitted"/>
      </sharedItems>
    </cacheField>
  </cacheFields>
  <cacheHierarchies count="37">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2" memberValueDatatype="130" unbalanced="0">
      <fieldsUsage count="2">
        <fieldUsage x="-1"/>
        <fieldUsage x="2"/>
      </fieldsUsage>
    </cacheHierarchy>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0" memberValueDatatype="130" unbalanced="0"/>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hidden="1">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23263886" createdVersion="5" refreshedVersion="8" minRefreshableVersion="3" recordCount="0" supportSubquery="1" supportAdvancedDrill="1" xr:uid="{A15F13C0-C972-48AC-91DC-3228A0404A95}">
  <cacheSource type="external" connectionId="4"/>
  <cacheFields count="3">
    <cacheField name="[Calendar].[Date (Month)].[Date (Month)]" caption="Date (Month)" numFmtId="0" hierarchy="1" level="1">
      <sharedItems containsSemiMixedTypes="0" containsNonDate="0" containsString="0"/>
    </cacheField>
    <cacheField name="[Measures].[Count of Age_group]" caption="Count of Age_group" numFmtId="0" hierarchy="30" level="32767"/>
    <cacheField name="[patient_data_with_wait_time].[Age_group].[Age_group]" caption="Age_group" numFmtId="0" hierarchy="16" level="1">
      <sharedItems count="10">
        <s v="10-19"/>
        <s v="1-9"/>
        <s v="20-29"/>
        <s v="30-39"/>
        <s v="40-49"/>
        <s v="50-59"/>
        <s v="60-69"/>
        <s v="70-79"/>
        <s v="80-89"/>
        <s v="90-99"/>
      </sharedItems>
    </cacheField>
  </cacheFields>
  <cacheHierarchies count="37">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0" memberValueDatatype="130" unbalanced="0"/>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2" memberValueDatatype="130" unbalanced="0">
      <fieldsUsage count="2">
        <fieldUsage x="-1"/>
        <fieldUsage x="2"/>
      </fieldsUsage>
    </cacheHierarchy>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hidden="1">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24074071" createdVersion="5" refreshedVersion="8" minRefreshableVersion="3" recordCount="0" supportSubquery="1" supportAdvancedDrill="1" xr:uid="{447BD1CE-BC99-48E4-975A-792CAC64C4B7}">
  <cacheSource type="external" connectionId="4"/>
  <cacheFields count="4">
    <cacheField name="[Calendar].[Date (Month)].[Date (Month)]" caption="Date (Month)" numFmtId="0" hierarchy="1" level="1">
      <sharedItems containsSemiMixedTypes="0" containsNonDate="0" containsString="0"/>
    </cacheField>
    <cacheField name="[patient_data_with_wait_time].[Age_group].[Age_group]" caption="Age_group" numFmtId="0" hierarchy="16" level="1">
      <sharedItems count="10">
        <s v="10-19"/>
        <s v="1-9"/>
        <s v="20-29"/>
        <s v="30-39"/>
        <s v="40-49"/>
        <s v="50-59"/>
        <s v="60-69"/>
        <s v="70-79"/>
        <s v="80-89"/>
        <s v="90-99"/>
      </sharedItems>
    </cacheField>
    <cacheField name="[patient_data_with_wait_time].[Patient_attend_status].[Patient_attend_status]" caption="Patient_attend_status" numFmtId="0" hierarchy="17" level="1">
      <sharedItems count="2">
        <s v="Delay"/>
        <s v="Ontime"/>
      </sharedItems>
    </cacheField>
    <cacheField name="[Measures].[Count of Patient_attend_status]" caption="Count of Patient_attend_status" numFmtId="0" hierarchy="34" level="32767"/>
  </cacheFields>
  <cacheHierarchies count="37">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0" memberValueDatatype="130" unbalanced="0"/>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2" memberValueDatatype="130" unbalanced="0">
      <fieldsUsage count="2">
        <fieldUsage x="-1"/>
        <fieldUsage x="1"/>
      </fieldsUsage>
    </cacheHierarchy>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2" memberValueDatatype="130" unbalanced="0">
      <fieldsUsage count="2">
        <fieldUsage x="-1"/>
        <fieldUsage x="2"/>
      </fieldsUsage>
    </cacheHierarchy>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hidden="1">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24768517" createdVersion="5" refreshedVersion="8" minRefreshableVersion="3" recordCount="0" supportSubquery="1" supportAdvancedDrill="1" xr:uid="{6A3ACFD1-0315-43B2-9567-B3045A77D5FA}">
  <cacheSource type="external" connectionId="4"/>
  <cacheFields count="4">
    <cacheField name="[Calendar].[Date (Month)].[Date (Month)]" caption="Date (Month)" numFmtId="0" hierarchy="1" level="1">
      <sharedItems containsSemiMixedTypes="0" containsNonDate="0" containsString="0"/>
    </cacheField>
    <cacheField name="[patient_data_with_wait_time].[Age_group].[Age_group]" caption="Age_group" numFmtId="0" hierarchy="16" level="1">
      <sharedItems count="10">
        <s v="10-19"/>
        <s v="1-9"/>
        <s v="20-29"/>
        <s v="30-39"/>
        <s v="40-49"/>
        <s v="50-59"/>
        <s v="60-69"/>
        <s v="70-79"/>
        <s v="80-89"/>
        <s v="90-99"/>
      </sharedItems>
    </cacheField>
    <cacheField name="[patient_data_with_wait_time].[Gender].[Gender]" caption="Gender" numFmtId="0" hierarchy="6" level="1">
      <sharedItems count="3">
        <s v="Female"/>
        <s v="Male"/>
        <s v="Other"/>
      </sharedItems>
    </cacheField>
    <cacheField name="[Measures].[Count of Gender]" caption="Count of Gender" numFmtId="0" hierarchy="35" level="32767"/>
  </cacheFields>
  <cacheHierarchies count="37">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2" memberValueDatatype="130" unbalanced="0">
      <fieldsUsage count="2">
        <fieldUsage x="-1"/>
        <fieldUsage x="2"/>
      </fieldsUsage>
    </cacheHierarchy>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0" memberValueDatatype="130" unbalanced="0"/>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2" memberValueDatatype="130" unbalanced="0">
      <fieldsUsage count="2">
        <fieldUsage x="-1"/>
        <fieldUsage x="1"/>
      </fieldsUsage>
    </cacheHierarchy>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92.616925115741" createdVersion="5" refreshedVersion="8" minRefreshableVersion="3" recordCount="0" supportSubquery="1" supportAdvancedDrill="1" xr:uid="{95A7B3CC-10B0-461C-ABD6-1128787C0366}">
  <cacheSource type="external" connectionId="4"/>
  <cacheFields count="4">
    <cacheField name="[Calendar].[Date (Month)].[Date (Month)]" caption="Date (Month)" numFmtId="0" hierarchy="1" level="1">
      <sharedItems containsSemiMixedTypes="0" containsNonDate="0" containsString="0"/>
    </cacheField>
    <cacheField name="[patient_data_with_wait_time].[Age_group].[Age_group]" caption="Age_group" numFmtId="0" hierarchy="16" level="1">
      <sharedItems count="10">
        <s v="10-19"/>
        <s v="1-9"/>
        <s v="20-29"/>
        <s v="30-39"/>
        <s v="40-49"/>
        <s v="50-59"/>
        <s v="60-69"/>
        <s v="70-79"/>
        <s v="80-89"/>
        <s v="90-99"/>
      </sharedItems>
    </cacheField>
    <cacheField name="[patient_data_with_wait_time].[Department_referral].[Department_referral]" caption="Department_referral" numFmtId="0" hierarchy="9" level="1">
      <sharedItems count="6">
        <s v="Cardiology"/>
        <s v="Emergency"/>
        <s v="Neurology"/>
        <s v="Oncology"/>
        <s v="Orthopedics"/>
        <s v="Pediatrics"/>
      </sharedItems>
    </cacheField>
    <cacheField name="[Measures].[Count of Department_referral]" caption="Count of Department_referral" numFmtId="0" hierarchy="36" level="32767"/>
  </cacheFields>
  <cacheHierarchies count="37">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2" memberValueDatatype="130" unbalanced="0">
      <fieldsUsage count="2">
        <fieldUsage x="-1"/>
        <fieldUsage x="2"/>
      </fieldsUsage>
    </cacheHierarchy>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0" memberValueDatatype="130" unbalanced="0"/>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2" memberValueDatatype="130" unbalanced="0">
      <fieldsUsage count="2">
        <fieldUsage x="-1"/>
        <fieldUsage x="1"/>
      </fieldsUsage>
    </cacheHierarchy>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Count of Patient_admission_flag]" caption="Count of Patient_admission_flag" measure="1" displayFolder="" measureGroup="patient_data_with_wait_time" count="0" hidden="1">
      <extLst>
        <ext xmlns:x15="http://schemas.microsoft.com/office/spreadsheetml/2010/11/main" uri="{B97F6D7D-B522-45F9-BDA1-12C45D357490}">
          <x15:cacheHierarchy aggregatedColumn="10"/>
        </ext>
      </extLst>
    </cacheHierarchy>
    <cacheHierarchy uniqueName="[Measures].[Count of Age_group]" caption="Count of Age_group" measure="1" displayFolder="" measureGroup="patient_data_with_wait_time" count="0" hidden="1">
      <extLst>
        <ext xmlns:x15="http://schemas.microsoft.com/office/spreadsheetml/2010/11/main" uri="{B97F6D7D-B522-45F9-BDA1-12C45D357490}">
          <x15:cacheHierarchy aggregatedColumn="16"/>
        </ext>
      </extLst>
    </cacheHierarchy>
    <cacheHierarchy uniqueName="[Measures].[Sum of Age]" caption="Sum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Age]" caption="Count of Age" measure="1" displayFolder="" measureGroup="patient_data_with_wait_time" count="0" hidden="1">
      <extLst>
        <ext xmlns:x15="http://schemas.microsoft.com/office/spreadsheetml/2010/11/main" uri="{B97F6D7D-B522-45F9-BDA1-12C45D357490}">
          <x15:cacheHierarchy aggregatedColumn="7"/>
        </ext>
      </extLst>
    </cacheHierarchy>
    <cacheHierarchy uniqueName="[Measures].[Count of Patient_wait_time]" caption="Count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Count of Patient_attend_status]" caption="Count of Patient_attend_status" measure="1" displayFolder="" measureGroup="patient_data_with_wait_time"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patient_data_with_wait_time" count="0" hidden="1">
      <extLst>
        <ext xmlns:x15="http://schemas.microsoft.com/office/spreadsheetml/2010/11/main" uri="{B97F6D7D-B522-45F9-BDA1-12C45D357490}">
          <x15:cacheHierarchy aggregatedColumn="6"/>
        </ext>
      </extLst>
    </cacheHierarchy>
    <cacheHierarchy uniqueName="[Measures].[Count of Department_referral]" caption="Count of Department_referral" measure="1" displayFolder="" measureGroup="patient_data_with_wait_time"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patient_data_with_wait_time" uniqueName="[patient_data_with_wait_time]" caption="patient_data_with_wait_time"/>
  </dimensions>
  <measureGroups count="2">
    <measureGroup name="Calendar" caption="Calendar"/>
    <measureGroup name="patient_data_with_wait_time" caption="patient_data_with_wait_tim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503_ soham shinde" refreshedDate="45986.555097569442" createdVersion="3" refreshedVersion="8" minRefreshableVersion="3" recordCount="0" supportSubquery="1" supportAdvancedDrill="1" xr:uid="{7AA05435-1BB1-48D2-B43D-30ABB3FA1FD4}">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cacheHierarchy uniqueName="[Calendar].[Date (Hour)]" caption="Date (Hour)" attribute="1" defaultMemberUniqueName="[Calendar].[Date (Hour)].[All]" allUniqueName="[Calendar].[Date (Hour)].[All]" dimensionUniqueName="[Calendar]" displayFolder="" count="0"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patient_data_with_wait_time].[Patient_id]" caption="Patient_id" attribute="1" defaultMemberUniqueName="[patient_data_with_wait_time].[Patient_id].[All]" allUniqueName="[patient_data_with_wait_time].[Patient_id].[All]" dimensionUniqueName="[patient_data_with_wait_time]" displayFolder="" count="0" memberValueDatatype="130" unbalanced="0"/>
    <cacheHierarchy uniqueName="[patient_data_with_wait_time].[Patient_admission_date]" caption="Patient_admission_date" attribute="1" time="1" defaultMemberUniqueName="[patient_data_with_wait_time].[Patient_admission_date].[All]" allUniqueName="[patient_data_with_wait_time].[Patient_admission_date].[All]" dimensionUniqueName="[patient_data_with_wait_time]" displayFolder="" count="0" memberValueDatatype="7" unbalanced="0"/>
    <cacheHierarchy uniqueName="[patient_data_with_wait_time].[Gender]" caption="Gender" attribute="1" defaultMemberUniqueName="[patient_data_with_wait_time].[Gender].[All]" allUniqueName="[patient_data_with_wait_time].[Gender].[All]" dimensionUniqueName="[patient_data_with_wait_time]" displayFolder="" count="0" memberValueDatatype="130" unbalanced="0"/>
    <cacheHierarchy uniqueName="[patient_data_with_wait_time].[Age]" caption="Age" attribute="1" defaultMemberUniqueName="[patient_data_with_wait_time].[Age].[All]" allUniqueName="[patient_data_with_wait_time].[Age].[All]" dimensionUniqueName="[patient_data_with_wait_time]" displayFolder="" count="0" memberValueDatatype="20" unbalanced="0"/>
    <cacheHierarchy uniqueName="[patient_data_with_wait_time].[Race]" caption="Race" attribute="1" defaultMemberUniqueName="[patient_data_with_wait_time].[Race].[All]" allUniqueName="[patient_data_with_wait_time].[Race].[All]" dimensionUniqueName="[patient_data_with_wait_time]" displayFolder="" count="0" memberValueDatatype="130" unbalanced="0"/>
    <cacheHierarchy uniqueName="[patient_data_with_wait_time].[Department_referral]" caption="Department_referral" attribute="1" defaultMemberUniqueName="[patient_data_with_wait_time].[Department_referral].[All]" allUniqueName="[patient_data_with_wait_time].[Department_referral].[All]" dimensionUniqueName="[patient_data_with_wait_time]" displayFolder="" count="0" memberValueDatatype="130" unbalanced="0"/>
    <cacheHierarchy uniqueName="[patient_data_with_wait_time].[Patient_admission_flag]" caption="Patient_admission_flag" attribute="1" defaultMemberUniqueName="[patient_data_with_wait_time].[Patient_admission_flag].[All]" allUniqueName="[patient_data_with_wait_time].[Patient_admission_flag].[All]" dimensionUniqueName="[patient_data_with_wait_time]" displayFolder="" count="0" memberValueDatatype="130" unbalanced="0"/>
    <cacheHierarchy uniqueName="[patient_data_with_wait_time].[Patient_satisfaction]" caption="Patient_satisfaction" attribute="1" defaultMemberUniqueName="[patient_data_with_wait_time].[Patient_satisfaction].[All]" allUniqueName="[patient_data_with_wait_time].[Patient_satisfaction].[All]" dimensionUniqueName="[patient_data_with_wait_time]" displayFolder="" count="0" memberValueDatatype="20" unbalanced="0"/>
    <cacheHierarchy uniqueName="[patient_data_with_wait_time].[Patient_admission_time]" caption="Patient_admission_time" attribute="1" time="1" defaultMemberUniqueName="[patient_data_with_wait_time].[Patient_admission_time].[All]" allUniqueName="[patient_data_with_wait_time].[Patient_admission_time].[All]" dimensionUniqueName="[patient_data_with_wait_time]" displayFolder="" count="0" memberValueDatatype="7" unbalanced="0"/>
    <cacheHierarchy uniqueName="[patient_data_with_wait_time].[Patient_wait_time]" caption="Patient_wait_time" attribute="1" defaultMemberUniqueName="[patient_data_with_wait_time].[Patient_wait_time].[All]" allUniqueName="[patient_data_with_wait_time].[Patient_wait_time].[All]" dimensionUniqueName="[patient_data_with_wait_time]" displayFolder="" count="0" memberValueDatatype="20" unbalanced="0"/>
    <cacheHierarchy uniqueName="[patient_data_with_wait_time].[Arrival_time]" caption="Arrival_time" attribute="1" time="1" defaultMemberUniqueName="[patient_data_with_wait_time].[Arrival_time].[All]" allUniqueName="[patient_data_with_wait_time].[Arrival_time].[All]" dimensionUniqueName="[patient_data_with_wait_time]" displayFolder="" count="0" memberValueDatatype="7" unbalanced="0"/>
    <cacheHierarchy uniqueName="[patient_data_with_wait_time].[Arrival_date]" caption="Arrival_date" attribute="1" time="1" defaultMemberUniqueName="[patient_data_with_wait_time].[Arrival_date].[All]" allUniqueName="[patient_data_with_wait_time].[Arrival_date].[All]" dimensionUniqueName="[patient_data_with_wait_time]" displayFolder="" count="0" memberValueDatatype="7" unbalanced="0"/>
    <cacheHierarchy uniqueName="[patient_data_with_wait_time].[Age_group]" caption="Age_group" attribute="1" defaultMemberUniqueName="[patient_data_with_wait_time].[Age_group].[All]" allUniqueName="[patient_data_with_wait_time].[Age_group].[All]" dimensionUniqueName="[patient_data_with_wait_time]" displayFolder="" count="0" memberValueDatatype="130" unbalanced="0"/>
    <cacheHierarchy uniqueName="[patient_data_with_wait_time].[Patient_attend_status]" caption="Patient_attend_status" attribute="1" defaultMemberUniqueName="[patient_data_with_wait_time].[Patient_attend_status].[All]" allUniqueName="[patient_data_with_wait_time].[Patient_attend_status].[All]" dimensionUniqueName="[patient_data_with_wait_time]"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patient_data_with_wait_time]" caption="__XL_Count patient_data_with_wait_time" measure="1" displayFolder="" measureGroup="patient_data_with_wait_tim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Distinct Count of Patient_id]" caption="Distinct Count of Patient_id" measure="1" displayFolder="" measureGroup="patient_data_with_wait_time" count="0" hidden="1">
      <extLst>
        <ext xmlns:x15="http://schemas.microsoft.com/office/spreadsheetml/2010/11/main" uri="{B97F6D7D-B522-45F9-BDA1-12C45D357490}">
          <x15:cacheHierarchy aggregatedColumn="4"/>
        </ext>
      </extLst>
    </cacheHierarchy>
    <cacheHierarchy uniqueName="[Measures].[Sum of Patient_wait_time]" caption="Sum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Average of Patient_wait_time]" caption="Average of Patient_wait_time" measure="1" displayFolder="" measureGroup="patient_data_with_wait_time" count="0" hidden="1">
      <extLst>
        <ext xmlns:x15="http://schemas.microsoft.com/office/spreadsheetml/2010/11/main" uri="{B97F6D7D-B522-45F9-BDA1-12C45D357490}">
          <x15:cacheHierarchy aggregatedColumn="13"/>
        </ext>
      </extLst>
    </cacheHierarchy>
    <cacheHierarchy uniqueName="[Measures].[Sum of Patient_satisfaction]" caption="Sum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y uniqueName="[Measures].[Average of Patient_satisfaction]" caption="Average of Patient_satisfaction" measure="1" displayFolder="" measureGroup="patient_data_with_wait_tim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148823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F9FBD4-6138-45D0-A720-B88EA2F74F20}" name="PivotTable6" cacheId="246" applyNumberFormats="0" applyBorderFormats="0" applyFontFormats="0" applyPatternFormats="0" applyAlignmentFormats="0" applyWidthHeightFormats="1" dataCaption="Values" tag="77e6d9f0-8dc5-44a8-99b0-dc4f2eaba377" updatedVersion="8" minRefreshableVersion="3" subtotalHiddenItems="1" rowGrandTotals="0" itemPrintTitles="1" createdVersion="5" indent="0" outline="1" outlineData="1" multipleFieldFilters="0" chartFormat="62">
  <location ref="N4:O33" firstHeaderRow="1" firstDataRow="1" firstDataCol="1"/>
  <pivotFields count="3">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Average of Patient_satisfaction" fld="2" subtotal="average" baseField="0" baseItem="0"/>
  </dataFields>
  <formats count="1">
    <format dxfId="917">
      <pivotArea outline="0" collapsedLevelsAreSubtotals="1" fieldPosition="0"/>
    </format>
  </formats>
  <chartFormats count="2">
    <chartFormat chart="56" format="2"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caption="Average of Patient_satisfactio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52DEED-536F-470D-A54E-F9308275D887}" name="PivotTable13" cacheId="255" applyNumberFormats="0" applyBorderFormats="0" applyFontFormats="0" applyPatternFormats="0" applyAlignmentFormats="0" applyWidthHeightFormats="1" dataCaption="Values" tag="13df7e39-a479-431b-87ac-55e368f9f1fd" updatedVersion="8" minRefreshableVersion="3" subtotalHiddenItems="1" itemPrintTitles="1" createdVersion="5" indent="0" outline="1" outlineData="1" multipleFieldFilters="0" chartFormat="85">
  <location ref="F44:G55"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Count of Age_group" fld="1" subtotal="count" baseField="0" baseItem="0" numFmtId="1"/>
  </dataFields>
  <formats count="15">
    <format dxfId="932">
      <pivotArea outline="0" collapsedLevelsAreSubtotals="1" fieldPosition="0"/>
    </format>
    <format dxfId="931">
      <pivotArea outline="0" collapsedLevelsAreSubtotals="1" fieldPosition="0"/>
    </format>
    <format dxfId="930">
      <pivotArea outline="0" collapsedLevelsAreSubtotals="1" fieldPosition="0"/>
    </format>
    <format dxfId="929">
      <pivotArea outline="0" collapsedLevelsAreSubtotals="1" fieldPosition="0"/>
    </format>
    <format dxfId="928">
      <pivotArea outline="0" collapsedLevelsAreSubtotals="1" fieldPosition="0"/>
    </format>
    <format dxfId="927">
      <pivotArea outline="0" collapsedLevelsAreSubtotals="1" fieldPosition="0"/>
    </format>
    <format dxfId="926">
      <pivotArea outline="0" collapsedLevelsAreSubtotals="1" fieldPosition="0"/>
    </format>
    <format dxfId="925">
      <pivotArea outline="0" collapsedLevelsAreSubtotals="1" fieldPosition="0"/>
    </format>
    <format dxfId="924">
      <pivotArea outline="0" collapsedLevelsAreSubtotals="1" fieldPosition="0"/>
    </format>
    <format dxfId="923">
      <pivotArea outline="0" collapsedLevelsAreSubtotals="1" fieldPosition="0"/>
    </format>
    <format dxfId="922">
      <pivotArea outline="0" collapsedLevelsAreSubtotals="1" fieldPosition="0"/>
    </format>
    <format dxfId="921">
      <pivotArea outline="0" collapsedLevelsAreSubtotals="1" fieldPosition="0"/>
    </format>
    <format dxfId="920">
      <pivotArea outline="0" collapsedLevelsAreSubtotals="1" fieldPosition="0"/>
    </format>
    <format dxfId="919">
      <pivotArea outline="0" collapsedLevelsAreSubtotals="1" fieldPosition="0"/>
    </format>
    <format dxfId="918">
      <pivotArea outline="0" collapsedLevelsAreSubtotals="1" fieldPosition="0"/>
    </format>
  </formats>
  <chartFormats count="1">
    <chartFormat chart="8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caption="Average of Patient_satisfaction Score"/>
    <pivotHierarchy dragToData="1" caption="Percent of Patient_admission_flag2"/>
    <pivotHierarchy dragToData="1"/>
    <pivotHierarchy dragToData="1"/>
    <pivotHierarchy dragToData="1" caption="Count of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61C3BC-5E16-4B64-975C-066271177621}" name="PivotTable3" cacheId="240" applyNumberFormats="0" applyBorderFormats="0" applyFontFormats="0" applyPatternFormats="0" applyAlignmentFormats="0" applyWidthHeightFormats="1" dataCaption="Values" tag="13df7e39-a479-431b-87ac-55e368f9f1fd" updatedVersion="8" minRefreshableVersion="3"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_satisfaction Score" fld="0" subtotal="average" baseField="0" baseItem="0"/>
  </dataFields>
  <formats count="15">
    <format dxfId="947">
      <pivotArea outline="0" collapsedLevelsAreSubtotals="1" fieldPosition="0"/>
    </format>
    <format dxfId="946">
      <pivotArea outline="0" collapsedLevelsAreSubtotals="1" fieldPosition="0"/>
    </format>
    <format dxfId="945">
      <pivotArea outline="0" collapsedLevelsAreSubtotals="1" fieldPosition="0"/>
    </format>
    <format dxfId="944">
      <pivotArea outline="0" collapsedLevelsAreSubtotals="1" fieldPosition="0"/>
    </format>
    <format dxfId="943">
      <pivotArea outline="0" collapsedLevelsAreSubtotals="1" fieldPosition="0"/>
    </format>
    <format dxfId="942">
      <pivotArea outline="0" collapsedLevelsAreSubtotals="1" fieldPosition="0"/>
    </format>
    <format dxfId="941">
      <pivotArea outline="0" collapsedLevelsAreSubtotals="1" fieldPosition="0"/>
    </format>
    <format dxfId="940">
      <pivotArea outline="0" collapsedLevelsAreSubtotals="1" fieldPosition="0"/>
    </format>
    <format dxfId="939">
      <pivotArea outline="0" collapsedLevelsAreSubtotals="1" fieldPosition="0"/>
    </format>
    <format dxfId="938">
      <pivotArea outline="0" collapsedLevelsAreSubtotals="1" fieldPosition="0"/>
    </format>
    <format dxfId="937">
      <pivotArea outline="0" collapsedLevelsAreSubtotals="1" fieldPosition="0"/>
    </format>
    <format dxfId="936">
      <pivotArea outline="0" collapsedLevelsAreSubtotals="1" fieldPosition="0"/>
    </format>
    <format dxfId="935">
      <pivotArea outline="0" collapsedLevelsAreSubtotals="1" fieldPosition="0"/>
    </format>
    <format dxfId="934">
      <pivotArea outline="0" collapsedLevelsAreSubtotals="1" fieldPosition="0"/>
    </format>
    <format dxfId="933">
      <pivotArea outline="0" collapsedLevelsAreSubtotals="1" fieldPosition="0"/>
    </format>
  </formats>
  <pivotHierarchies count="37">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caption="Average of Patient_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79F1E6-75F7-4522-B851-B8D2DAA2AAB1}" name="PivotTable12" cacheId="252" applyNumberFormats="0" applyBorderFormats="0" applyFontFormats="0" applyPatternFormats="0" applyAlignmentFormats="0" applyWidthHeightFormats="1" dataCaption="Values" tag="13df7e39-a479-431b-87ac-55e368f9f1fd" updatedVersion="8" minRefreshableVersion="3" subtotalHiddenItems="1" rowGrandTotals="0" itemPrintTitles="1" createdVersion="5" indent="0" outline="1" outlineData="1" multipleFieldFilters="0" chartFormat="71">
  <location ref="E38:F4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2">
    <i>
      <x/>
    </i>
    <i>
      <x v="1"/>
    </i>
  </rowItems>
  <colItems count="1">
    <i/>
  </colItems>
  <dataFields count="1">
    <dataField name="Percent of Patient_admission_flag2" fld="1" subtotal="count" showDataAs="percentOfTotal" baseField="0" baseItem="0" numFmtId="10"/>
  </dataFields>
  <formats count="19">
    <format dxfId="966">
      <pivotArea outline="0" collapsedLevelsAreSubtotals="1" fieldPosition="0"/>
    </format>
    <format dxfId="965">
      <pivotArea outline="0" collapsedLevelsAreSubtotals="1" fieldPosition="0"/>
    </format>
    <format dxfId="964">
      <pivotArea outline="0" collapsedLevelsAreSubtotals="1" fieldPosition="0"/>
    </format>
    <format dxfId="963">
      <pivotArea outline="0" collapsedLevelsAreSubtotals="1" fieldPosition="0"/>
    </format>
    <format dxfId="962">
      <pivotArea outline="0" collapsedLevelsAreSubtotals="1" fieldPosition="0"/>
    </format>
    <format dxfId="961">
      <pivotArea outline="0" collapsedLevelsAreSubtotals="1" fieldPosition="0"/>
    </format>
    <format dxfId="960">
      <pivotArea outline="0" collapsedLevelsAreSubtotals="1" fieldPosition="0"/>
    </format>
    <format dxfId="959">
      <pivotArea outline="0" collapsedLevelsAreSubtotals="1" fieldPosition="0"/>
    </format>
    <format dxfId="958">
      <pivotArea outline="0" collapsedLevelsAreSubtotals="1" fieldPosition="0"/>
    </format>
    <format dxfId="957">
      <pivotArea outline="0" collapsedLevelsAreSubtotals="1" fieldPosition="0"/>
    </format>
    <format dxfId="956">
      <pivotArea outline="0" collapsedLevelsAreSubtotals="1" fieldPosition="0"/>
    </format>
    <format dxfId="955">
      <pivotArea outline="0" collapsedLevelsAreSubtotals="1" fieldPosition="0"/>
    </format>
    <format dxfId="954">
      <pivotArea outline="0" collapsedLevelsAreSubtotals="1" fieldPosition="0"/>
    </format>
    <format dxfId="953">
      <pivotArea outline="0" collapsedLevelsAreSubtotals="1" fieldPosition="0"/>
    </format>
    <format dxfId="952">
      <pivotArea outline="0" collapsedLevelsAreSubtotals="1" fieldPosition="0"/>
    </format>
    <format dxfId="951">
      <pivotArea outline="0" collapsedLevelsAreSubtotals="1" fieldPosition="0">
        <references count="1">
          <reference field="4294967294" count="1" selected="0">
            <x v="0"/>
          </reference>
        </references>
      </pivotArea>
    </format>
    <format dxfId="950">
      <pivotArea outline="0" fieldPosition="0">
        <references count="1">
          <reference field="4294967294" count="1">
            <x v="0"/>
          </reference>
        </references>
      </pivotArea>
    </format>
    <format dxfId="949">
      <pivotArea collapsedLevelsAreSubtotals="1" fieldPosition="0">
        <references count="2">
          <reference field="4294967294" count="1" selected="0">
            <x v="0"/>
          </reference>
          <reference field="2" count="1">
            <x v="1"/>
          </reference>
        </references>
      </pivotArea>
    </format>
    <format dxfId="948">
      <pivotArea field="2" grandRow="1" outline="0" collapsedLevelsAreSubtotals="1" axis="axisRow" fieldPosition="0">
        <references count="1">
          <reference field="4294967294" count="1" selected="0">
            <x v="0"/>
          </reference>
        </references>
      </pivotArea>
    </format>
  </formats>
  <chartFormats count="4">
    <chartFormat chart="60"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0" format="1">
      <pivotArea type="data" outline="0" fieldPosition="0">
        <references count="2">
          <reference field="4294967294" count="1" selected="0">
            <x v="0"/>
          </reference>
          <reference field="2" count="1" selected="0">
            <x v="1"/>
          </reference>
        </references>
      </pivotArea>
    </chartFormat>
    <chartFormat chart="70" format="2">
      <pivotArea type="data" outline="0" fieldPosition="0">
        <references count="2">
          <reference field="4294967294" count="1" selected="0">
            <x v="0"/>
          </reference>
          <reference field="2" count="1" selected="0">
            <x v="0"/>
          </reference>
        </references>
      </pivotArea>
    </chartFormat>
  </chartFormats>
  <pivotHierarchies count="37">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caption="Average of Patient_satisfaction Score"/>
    <pivotHierarchy dragToData="1" caption="Percent of Patient_admission_flag2"/>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96A0F6-ABE4-4A6E-8A92-BCCB9CAEEC42}" name="PivotTable4" cacheId="231" applyNumberFormats="0" applyBorderFormats="0" applyFontFormats="0" applyPatternFormats="0" applyAlignmentFormats="0" applyWidthHeightFormats="1" dataCaption="Values" tag="77e6d9f0-8dc5-44a8-99b0-dc4f2eaba377" updatedVersion="8" minRefreshableVersion="3" subtotalHiddenItems="1" itemPrintTitles="1" createdVersion="5" indent="0" outline="1" outlineData="1" multipleFieldFilters="0" chartFormat="37">
  <location ref="F4:G34" firstHeaderRow="1" firstDataRow="1" firstDataCol="1"/>
  <pivotFields count="3">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_id" fld="0" subtotal="count" baseField="0" baseItem="0">
      <extLst>
        <ext xmlns:x15="http://schemas.microsoft.com/office/spreadsheetml/2010/11/main" uri="{FABC7310-3BB5-11E1-824E-6D434824019B}">
          <x15:dataField isCountDistinct="1"/>
        </ext>
      </extLst>
    </dataField>
  </dataFields>
  <chartFormats count="6">
    <chartFormat chart="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7406D7-E163-4FB2-82DA-0A673C0B1E75}" name="PivotTable2" cacheId="237" applyNumberFormats="0" applyBorderFormats="0" applyFontFormats="0" applyPatternFormats="0" applyAlignmentFormats="0" applyWidthHeightFormats="1" dataCaption="Values" tag="91782968-f2cb-443a-bb28-50b9cd4f9429" updatedVersion="8" minRefreshableVersion="3" subtotalHiddenItems="1"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_wait_time" fld="0" subtotal="average" baseField="0" baseItem="0" numFmtId="2"/>
  </dataFields>
  <formats count="15">
    <format dxfId="981">
      <pivotArea outline="0" collapsedLevelsAreSubtotals="1" fieldPosition="0"/>
    </format>
    <format dxfId="980">
      <pivotArea outline="0" collapsedLevelsAreSubtotals="1" fieldPosition="0"/>
    </format>
    <format dxfId="979">
      <pivotArea outline="0" collapsedLevelsAreSubtotals="1" fieldPosition="0"/>
    </format>
    <format dxfId="978">
      <pivotArea outline="0" collapsedLevelsAreSubtotals="1" fieldPosition="0"/>
    </format>
    <format dxfId="977">
      <pivotArea outline="0" collapsedLevelsAreSubtotals="1" fieldPosition="0"/>
    </format>
    <format dxfId="976">
      <pivotArea outline="0" collapsedLevelsAreSubtotals="1" fieldPosition="0"/>
    </format>
    <format dxfId="975">
      <pivotArea outline="0" collapsedLevelsAreSubtotals="1" fieldPosition="0"/>
    </format>
    <format dxfId="974">
      <pivotArea outline="0" collapsedLevelsAreSubtotals="1" fieldPosition="0"/>
    </format>
    <format dxfId="973">
      <pivotArea outline="0" collapsedLevelsAreSubtotals="1" fieldPosition="0"/>
    </format>
    <format dxfId="972">
      <pivotArea outline="0" collapsedLevelsAreSubtotals="1" fieldPosition="0"/>
    </format>
    <format dxfId="971">
      <pivotArea outline="0" collapsedLevelsAreSubtotals="1" fieldPosition="0"/>
    </format>
    <format dxfId="970">
      <pivotArea outline="0" collapsedLevelsAreSubtotals="1" fieldPosition="0"/>
    </format>
    <format dxfId="969">
      <pivotArea outline="0" collapsedLevelsAreSubtotals="1" fieldPosition="0"/>
    </format>
    <format dxfId="968">
      <pivotArea outline="0" collapsedLevelsAreSubtotals="1" fieldPosition="0"/>
    </format>
    <format dxfId="967">
      <pivotArea outline="0" collapsedLevelsAreSubtotals="1" fieldPosition="0"/>
    </format>
  </formats>
  <pivotHierarchies count="37">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72615C-3A18-4D00-9A00-AE11A09FA195}" name="PivotTable17" cacheId="264" applyNumberFormats="0" applyBorderFormats="0" applyFontFormats="0" applyPatternFormats="0" applyAlignmentFormats="0" applyWidthHeightFormats="1" dataCaption="Values" tag="13df7e39-a479-431b-87ac-55e368f9f1fd" updatedVersion="8" minRefreshableVersion="3" subtotalHiddenItems="1" itemPrintTitles="1" createdVersion="5" indent="0" outline="1" outlineData="1" multipleFieldFilters="0" chartFormat="98">
  <location ref="F68:G75" firstHeaderRow="1" firstDataRow="1" firstDataCol="1"/>
  <pivotFields count="4">
    <pivotField allDrilled="1" subtotalTop="0" showAll="0" dataSourceSort="1" defaultSubtotal="0" defaultAttributeDrillState="1"/>
    <pivotField allDrilled="1" subtotalTop="0" showAll="0" sortType="ascending"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7">
    <i>
      <x v="4"/>
    </i>
    <i>
      <x/>
    </i>
    <i>
      <x v="3"/>
    </i>
    <i>
      <x v="5"/>
    </i>
    <i>
      <x v="2"/>
    </i>
    <i>
      <x v="1"/>
    </i>
    <i t="grand">
      <x/>
    </i>
  </rowItems>
  <colItems count="1">
    <i/>
  </colItems>
  <dataFields count="1">
    <dataField name="Count of Department_referral" fld="3" subtotal="count" baseField="0" baseItem="0"/>
  </dataFields>
  <formats count="15">
    <format dxfId="996">
      <pivotArea outline="0" collapsedLevelsAreSubtotals="1" fieldPosition="0"/>
    </format>
    <format dxfId="995">
      <pivotArea outline="0" collapsedLevelsAreSubtotals="1" fieldPosition="0"/>
    </format>
    <format dxfId="994">
      <pivotArea outline="0" collapsedLevelsAreSubtotals="1" fieldPosition="0"/>
    </format>
    <format dxfId="993">
      <pivotArea outline="0" collapsedLevelsAreSubtotals="1" fieldPosition="0"/>
    </format>
    <format dxfId="992">
      <pivotArea outline="0" collapsedLevelsAreSubtotals="1" fieldPosition="0"/>
    </format>
    <format dxfId="991">
      <pivotArea outline="0" collapsedLevelsAreSubtotals="1" fieldPosition="0"/>
    </format>
    <format dxfId="990">
      <pivotArea outline="0" collapsedLevelsAreSubtotals="1" fieldPosition="0"/>
    </format>
    <format dxfId="989">
      <pivotArea outline="0" collapsedLevelsAreSubtotals="1" fieldPosition="0"/>
    </format>
    <format dxfId="988">
      <pivotArea outline="0" collapsedLevelsAreSubtotals="1" fieldPosition="0"/>
    </format>
    <format dxfId="987">
      <pivotArea outline="0" collapsedLevelsAreSubtotals="1" fieldPosition="0"/>
    </format>
    <format dxfId="986">
      <pivotArea outline="0" collapsedLevelsAreSubtotals="1" fieldPosition="0"/>
    </format>
    <format dxfId="985">
      <pivotArea outline="0" collapsedLevelsAreSubtotals="1" fieldPosition="0"/>
    </format>
    <format dxfId="984">
      <pivotArea outline="0" collapsedLevelsAreSubtotals="1" fieldPosition="0"/>
    </format>
    <format dxfId="983">
      <pivotArea outline="0" collapsedLevelsAreSubtotals="1" fieldPosition="0"/>
    </format>
    <format dxfId="982">
      <pivotArea outline="0" collapsedLevelsAreSubtotals="1" fieldPosition="0"/>
    </format>
  </formats>
  <chartFormats count="1">
    <chartFormat chart="97"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caption="Average of Patient_satisfaction Score"/>
    <pivotHierarchy dragToData="1" caption="Percent of Patient_admission_flag2"/>
    <pivotHierarchy dragToData="1"/>
    <pivotHierarchy dragToData="1"/>
    <pivotHierarchy dragToData="1" caption="Count of Age"/>
    <pivotHierarchy dragToData="1" caption="Count of Patient_wait_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1C50A3-4404-4DCB-9BBD-00DE39C3B6AA}" name="PivotTable16" cacheId="261" applyNumberFormats="0" applyBorderFormats="0" applyFontFormats="0" applyPatternFormats="0" applyAlignmentFormats="0" applyWidthHeightFormats="1" dataCaption="Values" tag="13df7e39-a479-431b-87ac-55e368f9f1fd" updatedVersion="8" minRefreshableVersion="3" subtotalHiddenItems="1" itemPrintTitles="1" createdVersion="5" indent="0" outline="1" outlineData="1" multipleFieldFilters="0" chartFormat="94">
  <location ref="F62:G66" firstHeaderRow="1" firstDataRow="1" firstDataCol="1"/>
  <pivotFields count="4">
    <pivotField allDrilled="1" subtotalTop="0" showAll="0" dataSourceSort="1" defaultSubtotal="0" defaultAttributeDrillState="1"/>
    <pivotField allDrilled="1" subtotalTop="0" showAll="0" sortType="ascending"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Items count="1">
    <i/>
  </colItems>
  <dataFields count="1">
    <dataField name="Count of Gender" fld="3" subtotal="count" baseField="0" baseItem="0"/>
  </dataFields>
  <formats count="15">
    <format dxfId="1011">
      <pivotArea outline="0" collapsedLevelsAreSubtotals="1" fieldPosition="0"/>
    </format>
    <format dxfId="1010">
      <pivotArea outline="0" collapsedLevelsAreSubtotals="1" fieldPosition="0"/>
    </format>
    <format dxfId="1009">
      <pivotArea outline="0" collapsedLevelsAreSubtotals="1" fieldPosition="0"/>
    </format>
    <format dxfId="1008">
      <pivotArea outline="0" collapsedLevelsAreSubtotals="1" fieldPosition="0"/>
    </format>
    <format dxfId="1007">
      <pivotArea outline="0" collapsedLevelsAreSubtotals="1" fieldPosition="0"/>
    </format>
    <format dxfId="1006">
      <pivotArea outline="0" collapsedLevelsAreSubtotals="1" fieldPosition="0"/>
    </format>
    <format dxfId="1005">
      <pivotArea outline="0" collapsedLevelsAreSubtotals="1" fieldPosition="0"/>
    </format>
    <format dxfId="1004">
      <pivotArea outline="0" collapsedLevelsAreSubtotals="1" fieldPosition="0"/>
    </format>
    <format dxfId="1003">
      <pivotArea outline="0" collapsedLevelsAreSubtotals="1" fieldPosition="0"/>
    </format>
    <format dxfId="1002">
      <pivotArea outline="0" collapsedLevelsAreSubtotals="1" fieldPosition="0"/>
    </format>
    <format dxfId="1001">
      <pivotArea outline="0" collapsedLevelsAreSubtotals="1" fieldPosition="0"/>
    </format>
    <format dxfId="1000">
      <pivotArea outline="0" collapsedLevelsAreSubtotals="1" fieldPosition="0"/>
    </format>
    <format dxfId="999">
      <pivotArea outline="0" collapsedLevelsAreSubtotals="1" fieldPosition="0"/>
    </format>
    <format dxfId="998">
      <pivotArea outline="0" collapsedLevelsAreSubtotals="1" fieldPosition="0"/>
    </format>
    <format dxfId="997">
      <pivotArea outline="0" collapsedLevelsAreSubtotals="1" fieldPosition="0"/>
    </format>
  </formats>
  <chartFormats count="8">
    <chartFormat chart="91" format="1" series="1">
      <pivotArea type="data" outline="0" fieldPosition="0">
        <references count="1">
          <reference field="4294967294" count="1" selected="0">
            <x v="0"/>
          </reference>
        </references>
      </pivotArea>
    </chartFormat>
    <chartFormat chart="91" format="2">
      <pivotArea type="data" outline="0" fieldPosition="0">
        <references count="2">
          <reference field="4294967294" count="1" selected="0">
            <x v="0"/>
          </reference>
          <reference field="2" count="1" selected="0">
            <x v="0"/>
          </reference>
        </references>
      </pivotArea>
    </chartFormat>
    <chartFormat chart="91" format="3">
      <pivotArea type="data" outline="0" fieldPosition="0">
        <references count="2">
          <reference field="4294967294" count="1" selected="0">
            <x v="0"/>
          </reference>
          <reference field="2" count="1" selected="0">
            <x v="1"/>
          </reference>
        </references>
      </pivotArea>
    </chartFormat>
    <chartFormat chart="91" format="4">
      <pivotArea type="data" outline="0" fieldPosition="0">
        <references count="2">
          <reference field="4294967294" count="1" selected="0">
            <x v="0"/>
          </reference>
          <reference field="2" count="1" selected="0">
            <x v="2"/>
          </reference>
        </references>
      </pivotArea>
    </chartFormat>
    <chartFormat chart="92" format="5" series="1">
      <pivotArea type="data" outline="0" fieldPosition="0">
        <references count="1">
          <reference field="4294967294" count="1" selected="0">
            <x v="0"/>
          </reference>
        </references>
      </pivotArea>
    </chartFormat>
    <chartFormat chart="92" format="6">
      <pivotArea type="data" outline="0" fieldPosition="0">
        <references count="2">
          <reference field="4294967294" count="1" selected="0">
            <x v="0"/>
          </reference>
          <reference field="2" count="1" selected="0">
            <x v="0"/>
          </reference>
        </references>
      </pivotArea>
    </chartFormat>
    <chartFormat chart="92" format="7">
      <pivotArea type="data" outline="0" fieldPosition="0">
        <references count="2">
          <reference field="4294967294" count="1" selected="0">
            <x v="0"/>
          </reference>
          <reference field="2" count="1" selected="0">
            <x v="1"/>
          </reference>
        </references>
      </pivotArea>
    </chartFormat>
    <chartFormat chart="92" format="8">
      <pivotArea type="data" outline="0" fieldPosition="0">
        <references count="2">
          <reference field="4294967294" count="1" selected="0">
            <x v="0"/>
          </reference>
          <reference field="2" count="1" selected="0">
            <x v="2"/>
          </reference>
        </references>
      </pivotArea>
    </chartFormat>
  </chartFormats>
  <pivotHierarchies count="37">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caption="Average of Patient_satisfaction Score"/>
    <pivotHierarchy dragToData="1" caption="Percent of Patient_admission_flag2"/>
    <pivotHierarchy dragToData="1"/>
    <pivotHierarchy dragToData="1"/>
    <pivotHierarchy dragToData="1" caption="Count of Age"/>
    <pivotHierarchy dragToData="1" caption="Count of Patient_wait_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13D0AC-47CE-409B-93F0-46EA96909CDB}" name="PivotTable1" cacheId="234" applyNumberFormats="0" applyBorderFormats="0" applyFontFormats="0" applyPatternFormats="0" applyAlignmentFormats="0" applyWidthHeightFormats="1" dataCaption="Values" tag="77e6d9f0-8dc5-44a8-99b0-dc4f2eaba377"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_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527FF3-2C02-46A6-BB8D-48B2D8779C0A}" name="PivotTable5" cacheId="243" applyNumberFormats="0" applyBorderFormats="0" applyFontFormats="0" applyPatternFormats="0" applyAlignmentFormats="0" applyWidthHeightFormats="1" dataCaption="Values" tag="77e6d9f0-8dc5-44a8-99b0-dc4f2eaba377" updatedVersion="8" minRefreshableVersion="3" subtotalHiddenItems="1" rowGrandTotals="0" itemPrintTitles="1" createdVersion="5" indent="0" outline="1" outlineData="1" multipleFieldFilters="0" chartFormat="56">
  <location ref="K4:L33" firstHeaderRow="1" firstDataRow="1" firstDataCol="1"/>
  <pivotFields count="3">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Average of Patient_wait_time" fld="2" subtotal="average" baseField="0" baseItem="0" numFmtId="2"/>
  </dataFields>
  <formats count="1">
    <format dxfId="1012">
      <pivotArea outline="0" collapsedLevelsAreSubtotals="1" fieldPosition="0"/>
    </format>
  </formats>
  <chartFormats count="3">
    <chartFormat chart="43" format="2"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 chart="54" format="5"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DEA87E-44C7-493D-BABF-547FD206B711}" name="PivotTable15" cacheId="258" applyNumberFormats="0" applyBorderFormats="0" applyFontFormats="0" applyPatternFormats="0" applyAlignmentFormats="0" applyWidthHeightFormats="1" dataCaption="Values" tag="13df7e39-a479-431b-87ac-55e368f9f1fd" updatedVersion="8" minRefreshableVersion="3" subtotalHiddenItems="1" itemPrintTitles="1" createdVersion="5" indent="0" outline="1" outlineData="1" multipleFieldFilters="0" chartFormat="90">
  <location ref="F57:G60" firstHeaderRow="1" firstDataRow="1" firstDataCol="1"/>
  <pivotFields count="4">
    <pivotField allDrilled="1" subtotalTop="0" showAll="0" dataSourceSort="1" defaultSubtotal="0" defaultAttributeDrillState="1"/>
    <pivotField allDrilled="1" subtotalTop="0" showAll="0" sortType="ascending"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_attend_status" fld="3" subtotal="count" baseField="0" baseItem="0"/>
  </dataFields>
  <formats count="15">
    <format dxfId="1027">
      <pivotArea outline="0" collapsedLevelsAreSubtotals="1" fieldPosition="0"/>
    </format>
    <format dxfId="1026">
      <pivotArea outline="0" collapsedLevelsAreSubtotals="1" fieldPosition="0"/>
    </format>
    <format dxfId="1025">
      <pivotArea outline="0" collapsedLevelsAreSubtotals="1" fieldPosition="0"/>
    </format>
    <format dxfId="1024">
      <pivotArea outline="0" collapsedLevelsAreSubtotals="1" fieldPosition="0"/>
    </format>
    <format dxfId="1023">
      <pivotArea outline="0" collapsedLevelsAreSubtotals="1" fieldPosition="0"/>
    </format>
    <format dxfId="1022">
      <pivotArea outline="0" collapsedLevelsAreSubtotals="1" fieldPosition="0"/>
    </format>
    <format dxfId="1021">
      <pivotArea outline="0" collapsedLevelsAreSubtotals="1" fieldPosition="0"/>
    </format>
    <format dxfId="1020">
      <pivotArea outline="0" collapsedLevelsAreSubtotals="1" fieldPosition="0"/>
    </format>
    <format dxfId="1019">
      <pivotArea outline="0" collapsedLevelsAreSubtotals="1" fieldPosition="0"/>
    </format>
    <format dxfId="1018">
      <pivotArea outline="0" collapsedLevelsAreSubtotals="1" fieldPosition="0"/>
    </format>
    <format dxfId="1017">
      <pivotArea outline="0" collapsedLevelsAreSubtotals="1" fieldPosition="0"/>
    </format>
    <format dxfId="1016">
      <pivotArea outline="0" collapsedLevelsAreSubtotals="1" fieldPosition="0"/>
    </format>
    <format dxfId="1015">
      <pivotArea outline="0" collapsedLevelsAreSubtotals="1" fieldPosition="0"/>
    </format>
    <format dxfId="1014">
      <pivotArea outline="0" collapsedLevelsAreSubtotals="1" fieldPosition="0"/>
    </format>
    <format dxfId="1013">
      <pivotArea outline="0" collapsedLevelsAreSubtotals="1" fieldPosition="0"/>
    </format>
  </formats>
  <chartFormats count="3">
    <chartFormat chart="88" format="4" series="1">
      <pivotArea type="data" outline="0" fieldPosition="0">
        <references count="1">
          <reference field="4294967294" count="1" selected="0">
            <x v="0"/>
          </reference>
        </references>
      </pivotArea>
    </chartFormat>
    <chartFormat chart="88" format="5">
      <pivotArea type="data" outline="0" fieldPosition="0">
        <references count="2">
          <reference field="4294967294" count="1" selected="0">
            <x v="0"/>
          </reference>
          <reference field="2" count="1" selected="0">
            <x v="0"/>
          </reference>
        </references>
      </pivotArea>
    </chartFormat>
    <chartFormat chart="88" format="6">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caption="Average of Patient_satisfaction Score"/>
    <pivotHierarchy dragToData="1" caption="Percent of Patient_admission_flag2"/>
    <pivotHierarchy dragToData="1"/>
    <pivotHierarchy dragToData="1"/>
    <pivotHierarchy dragToData="1" caption="Count of Age"/>
    <pivotHierarchy dragToData="1" caption="Count of Patient_wait_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6E9ECB-6D1F-4D36-973E-1247805C766E}" name="PivotTable8" cacheId="249" applyNumberFormats="0" applyBorderFormats="0" applyFontFormats="0" applyPatternFormats="0" applyAlignmentFormats="0" applyWidthHeightFormats="1" dataCaption="Values" tag="13df7e39-a479-431b-87ac-55e368f9f1fd" updatedVersion="8" minRefreshableVersion="3" subtotalHiddenItems="1" itemPrintTitles="1" createdVersion="5" indent="0" outline="1" outlineData="1" multipleFieldFilters="0" chartFormat="70">
  <location ref="A38:C41"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Percent of Patient_admission_flag2" fld="1" subtotal="count" showDataAs="percentOfTotal" baseField="0" baseItem="0" numFmtId="10"/>
    <dataField name="Count of Patient_admission_flag" fld="3" subtotal="count" baseField="0" baseItem="0">
      <extLst>
        <ext xmlns:x14="http://schemas.microsoft.com/office/spreadsheetml/2009/9/main" uri="{E15A36E0-9728-4e99-A89B-3F7291B0FE68}">
          <x14:dataField sourceField="1" uniqueName="[__Xl2].[Measures].[Count of Patient_admission_flag]"/>
        </ext>
      </extLst>
    </dataField>
  </dataFields>
  <formats count="20">
    <format dxfId="1047">
      <pivotArea outline="0" collapsedLevelsAreSubtotals="1" fieldPosition="0"/>
    </format>
    <format dxfId="1046">
      <pivotArea outline="0" collapsedLevelsAreSubtotals="1" fieldPosition="0"/>
    </format>
    <format dxfId="1045">
      <pivotArea outline="0" collapsedLevelsAreSubtotals="1" fieldPosition="0"/>
    </format>
    <format dxfId="1044">
      <pivotArea outline="0" collapsedLevelsAreSubtotals="1" fieldPosition="0"/>
    </format>
    <format dxfId="1043">
      <pivotArea outline="0" collapsedLevelsAreSubtotals="1" fieldPosition="0"/>
    </format>
    <format dxfId="1042">
      <pivotArea outline="0" collapsedLevelsAreSubtotals="1" fieldPosition="0"/>
    </format>
    <format dxfId="1041">
      <pivotArea outline="0" collapsedLevelsAreSubtotals="1" fieldPosition="0"/>
    </format>
    <format dxfId="1040">
      <pivotArea outline="0" collapsedLevelsAreSubtotals="1" fieldPosition="0"/>
    </format>
    <format dxfId="1039">
      <pivotArea outline="0" collapsedLevelsAreSubtotals="1" fieldPosition="0"/>
    </format>
    <format dxfId="1038">
      <pivotArea outline="0" collapsedLevelsAreSubtotals="1" fieldPosition="0"/>
    </format>
    <format dxfId="1037">
      <pivotArea outline="0" collapsedLevelsAreSubtotals="1" fieldPosition="0"/>
    </format>
    <format dxfId="1036">
      <pivotArea outline="0" collapsedLevelsAreSubtotals="1" fieldPosition="0"/>
    </format>
    <format dxfId="1035">
      <pivotArea outline="0" collapsedLevelsAreSubtotals="1" fieldPosition="0"/>
    </format>
    <format dxfId="1034">
      <pivotArea outline="0" collapsedLevelsAreSubtotals="1" fieldPosition="0"/>
    </format>
    <format dxfId="1033">
      <pivotArea outline="0" collapsedLevelsAreSubtotals="1" fieldPosition="0"/>
    </format>
    <format dxfId="1032">
      <pivotArea outline="0" collapsedLevelsAreSubtotals="1" fieldPosition="0">
        <references count="1">
          <reference field="4294967294" count="1" selected="0">
            <x v="0"/>
          </reference>
        </references>
      </pivotArea>
    </format>
    <format dxfId="1031">
      <pivotArea outline="0" fieldPosition="0">
        <references count="1">
          <reference field="4294967294" count="1">
            <x v="0"/>
          </reference>
        </references>
      </pivotArea>
    </format>
    <format dxfId="1030">
      <pivotArea collapsedLevelsAreSubtotals="1" fieldPosition="0">
        <references count="2">
          <reference field="4294967294" count="1" selected="0">
            <x v="0"/>
          </reference>
          <reference field="2" count="1">
            <x v="1"/>
          </reference>
        </references>
      </pivotArea>
    </format>
    <format dxfId="1029">
      <pivotArea field="2" grandRow="1" outline="0" collapsedLevelsAreSubtotals="1" axis="axisRow" fieldPosition="0">
        <references count="1">
          <reference field="4294967294" count="1" selected="0">
            <x v="0"/>
          </reference>
        </references>
      </pivotArea>
    </format>
    <format dxfId="1028">
      <pivotArea collapsedLevelsAreSubtotals="1" fieldPosition="0">
        <references count="2">
          <reference field="4294967294" count="1" selected="0">
            <x v="1"/>
          </reference>
          <reference field="2" count="1">
            <x v="0"/>
          </reference>
        </references>
      </pivotArea>
    </format>
  </formats>
  <pivotHierarchies count="38">
    <pivotHierarchy dragToData="1"/>
    <pivotHierarchy multipleItemSelectionAllowed="1" dragToData="1">
      <members count="1" level="1">
        <member name="[Calendar].[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caption="Average of Patient_satisfaction Score"/>
    <pivotHierarchy dragToData="1" caption="Percent of Patient_admission_flag2"/>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_data_with_wait_tim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8F0E5E2-882A-4027-B80A-BE6315FF01B0}" sourceName="[Calendar].[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12"/>
    <pivotTable tabId="1" name="PivotTable13"/>
    <pivotTable tabId="1" name="PivotTable15"/>
    <pivotTable tabId="1" name="PivotTable16"/>
    <pivotTable tabId="1" name="PivotTable17"/>
  </pivotTables>
  <data>
    <olap pivotCacheId="714882347">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i n="[Calendar].[Date (Month)].&amp;[Dec]" c="Dec"/>
            </range>
          </ranges>
        </level>
      </levels>
      <selections count="1">
        <selection n="[Calendar].[Date (Month)].&amp;[Feb]"/>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4D2BEB8-21D5-4023-8C83-2771F5167E1B}" cache="Slicer_Date__Month" caption="Date (Month)" startItem="8"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D34F99C-93A5-4806-9DD0-199B441ADC6B}" cache="Slicer_Date__Month" caption="Date (Month)" showCaption="0" level="1" style="SlicerStyleDark2 2" rowHeight="165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B168-15B0-4C83-B845-A564186FED48}">
  <dimension ref="A3:O75"/>
  <sheetViews>
    <sheetView topLeftCell="C61" zoomScale="136" zoomScaleNormal="136" workbookViewId="0">
      <selection activeCell="G69" sqref="G69"/>
    </sheetView>
  </sheetViews>
  <sheetFormatPr defaultRowHeight="15" x14ac:dyDescent="0.25"/>
  <cols>
    <col min="1" max="3" width="15" customWidth="1"/>
    <col min="4" max="4" width="25.7109375" customWidth="1"/>
    <col min="5" max="5" width="13.28515625" bestFit="1" customWidth="1"/>
    <col min="6" max="6" width="33" bestFit="1" customWidth="1"/>
    <col min="7" max="7" width="30.42578125" bestFit="1" customWidth="1"/>
    <col min="11" max="11" width="13.140625" bestFit="1" customWidth="1"/>
    <col min="12" max="12" width="28" bestFit="1" customWidth="1"/>
    <col min="14" max="14" width="13.140625" bestFit="1" customWidth="1"/>
    <col min="15" max="15" width="28" bestFit="1" customWidth="1"/>
  </cols>
  <sheetData>
    <row r="3" spans="1:15" x14ac:dyDescent="0.25">
      <c r="A3" t="s">
        <v>1</v>
      </c>
    </row>
    <row r="4" spans="1:15" x14ac:dyDescent="0.25">
      <c r="A4" t="s">
        <v>0</v>
      </c>
      <c r="F4" s="3" t="s">
        <v>24</v>
      </c>
      <c r="G4" t="s">
        <v>0</v>
      </c>
      <c r="K4" s="3" t="s">
        <v>24</v>
      </c>
      <c r="L4" t="s">
        <v>2</v>
      </c>
      <c r="N4" s="3" t="s">
        <v>24</v>
      </c>
      <c r="O4" t="s">
        <v>29</v>
      </c>
    </row>
    <row r="5" spans="1:15" x14ac:dyDescent="0.25">
      <c r="A5" s="25">
        <v>372</v>
      </c>
      <c r="F5" s="4" t="s">
        <v>44</v>
      </c>
      <c r="G5" s="25">
        <v>15</v>
      </c>
      <c r="K5" s="4" t="s">
        <v>44</v>
      </c>
      <c r="L5" s="5">
        <v>27.733333333333334</v>
      </c>
      <c r="N5" s="4" t="s">
        <v>44</v>
      </c>
      <c r="O5" s="5">
        <v>2.6666666666666665</v>
      </c>
    </row>
    <row r="6" spans="1:15" x14ac:dyDescent="0.25">
      <c r="F6" s="4" t="s">
        <v>45</v>
      </c>
      <c r="G6" s="25">
        <v>11</v>
      </c>
      <c r="K6" s="4" t="s">
        <v>45</v>
      </c>
      <c r="L6" s="5">
        <v>28.545454545454547</v>
      </c>
      <c r="N6" s="4" t="s">
        <v>45</v>
      </c>
      <c r="O6" s="5">
        <v>2.6363636363636362</v>
      </c>
    </row>
    <row r="7" spans="1:15" x14ac:dyDescent="0.25">
      <c r="F7" s="4" t="s">
        <v>46</v>
      </c>
      <c r="G7" s="25">
        <v>16</v>
      </c>
      <c r="K7" s="4" t="s">
        <v>46</v>
      </c>
      <c r="L7" s="5">
        <v>33.125</v>
      </c>
      <c r="N7" s="4" t="s">
        <v>46</v>
      </c>
      <c r="O7" s="5">
        <v>3.25</v>
      </c>
    </row>
    <row r="8" spans="1:15" x14ac:dyDescent="0.25">
      <c r="F8" s="4" t="s">
        <v>47</v>
      </c>
      <c r="G8" s="25">
        <v>11</v>
      </c>
      <c r="K8" s="4" t="s">
        <v>47</v>
      </c>
      <c r="L8" s="5">
        <v>26.90909090909091</v>
      </c>
      <c r="N8" s="4" t="s">
        <v>47</v>
      </c>
      <c r="O8" s="5">
        <v>2.9090909090909092</v>
      </c>
    </row>
    <row r="9" spans="1:15" x14ac:dyDescent="0.25">
      <c r="A9" t="s">
        <v>2</v>
      </c>
      <c r="F9" s="4" t="s">
        <v>48</v>
      </c>
      <c r="G9" s="25">
        <v>18</v>
      </c>
      <c r="K9" s="4" t="s">
        <v>48</v>
      </c>
      <c r="L9" s="5">
        <v>33</v>
      </c>
      <c r="N9" s="4" t="s">
        <v>48</v>
      </c>
      <c r="O9" s="5">
        <v>3.2777777777777777</v>
      </c>
    </row>
    <row r="10" spans="1:15" x14ac:dyDescent="0.25">
      <c r="A10" s="1">
        <v>31.008064516129032</v>
      </c>
      <c r="F10" s="4" t="s">
        <v>49</v>
      </c>
      <c r="G10" s="25">
        <v>12</v>
      </c>
      <c r="K10" s="4" t="s">
        <v>49</v>
      </c>
      <c r="L10" s="5">
        <v>25.583333333333332</v>
      </c>
      <c r="N10" s="4" t="s">
        <v>49</v>
      </c>
      <c r="O10" s="5">
        <v>2.1666666666666665</v>
      </c>
    </row>
    <row r="11" spans="1:15" x14ac:dyDescent="0.25">
      <c r="F11" s="4" t="s">
        <v>50</v>
      </c>
      <c r="G11" s="25">
        <v>9</v>
      </c>
      <c r="K11" s="4" t="s">
        <v>50</v>
      </c>
      <c r="L11" s="5">
        <v>30.666666666666668</v>
      </c>
      <c r="N11" s="4" t="s">
        <v>50</v>
      </c>
      <c r="O11" s="5">
        <v>3.1111111111111112</v>
      </c>
    </row>
    <row r="12" spans="1:15" x14ac:dyDescent="0.25">
      <c r="A12" t="s">
        <v>3</v>
      </c>
      <c r="F12" s="4" t="s">
        <v>51</v>
      </c>
      <c r="G12" s="25">
        <v>14</v>
      </c>
      <c r="K12" s="4" t="s">
        <v>51</v>
      </c>
      <c r="L12" s="5">
        <v>27.5</v>
      </c>
      <c r="N12" s="4" t="s">
        <v>51</v>
      </c>
      <c r="O12" s="5">
        <v>3.1428571428571428</v>
      </c>
    </row>
    <row r="13" spans="1:15" x14ac:dyDescent="0.25">
      <c r="A13" s="1">
        <v>2.9301075268817205</v>
      </c>
      <c r="F13" s="4" t="s">
        <v>52</v>
      </c>
      <c r="G13" s="25">
        <v>16</v>
      </c>
      <c r="K13" s="4" t="s">
        <v>52</v>
      </c>
      <c r="L13" s="5">
        <v>33.3125</v>
      </c>
      <c r="N13" s="4" t="s">
        <v>52</v>
      </c>
      <c r="O13" s="5">
        <v>2.625</v>
      </c>
    </row>
    <row r="14" spans="1:15" x14ac:dyDescent="0.25">
      <c r="F14" s="4" t="s">
        <v>53</v>
      </c>
      <c r="G14" s="25">
        <v>12</v>
      </c>
      <c r="K14" s="4" t="s">
        <v>53</v>
      </c>
      <c r="L14" s="5">
        <v>29.75</v>
      </c>
      <c r="N14" s="4" t="s">
        <v>53</v>
      </c>
      <c r="O14" s="5">
        <v>3.25</v>
      </c>
    </row>
    <row r="15" spans="1:15" x14ac:dyDescent="0.25">
      <c r="F15" s="4" t="s">
        <v>54</v>
      </c>
      <c r="G15" s="25">
        <v>14</v>
      </c>
      <c r="K15" s="4" t="s">
        <v>54</v>
      </c>
      <c r="L15" s="5">
        <v>30.142857142857142</v>
      </c>
      <c r="N15" s="4" t="s">
        <v>54</v>
      </c>
      <c r="O15" s="5">
        <v>2.7857142857142856</v>
      </c>
    </row>
    <row r="16" spans="1:15" x14ac:dyDescent="0.25">
      <c r="F16" s="4" t="s">
        <v>55</v>
      </c>
      <c r="G16" s="25">
        <v>9</v>
      </c>
      <c r="K16" s="4" t="s">
        <v>55</v>
      </c>
      <c r="L16" s="5">
        <v>35</v>
      </c>
      <c r="N16" s="4" t="s">
        <v>55</v>
      </c>
      <c r="O16" s="5">
        <v>3.5555555555555554</v>
      </c>
    </row>
    <row r="17" spans="6:15" x14ac:dyDescent="0.25">
      <c r="F17" s="4" t="s">
        <v>56</v>
      </c>
      <c r="G17" s="25">
        <v>16</v>
      </c>
      <c r="K17" s="4" t="s">
        <v>56</v>
      </c>
      <c r="L17" s="5">
        <v>33.1875</v>
      </c>
      <c r="N17" s="4" t="s">
        <v>56</v>
      </c>
      <c r="O17" s="5">
        <v>2.75</v>
      </c>
    </row>
    <row r="18" spans="6:15" x14ac:dyDescent="0.25">
      <c r="F18" s="4" t="s">
        <v>57</v>
      </c>
      <c r="G18" s="25">
        <v>13</v>
      </c>
      <c r="K18" s="4" t="s">
        <v>57</v>
      </c>
      <c r="L18" s="5">
        <v>34.846153846153847</v>
      </c>
      <c r="N18" s="4" t="s">
        <v>57</v>
      </c>
      <c r="O18" s="5">
        <v>2.8461538461538463</v>
      </c>
    </row>
    <row r="19" spans="6:15" x14ac:dyDescent="0.25">
      <c r="F19" s="4" t="s">
        <v>58</v>
      </c>
      <c r="G19" s="25">
        <v>6</v>
      </c>
      <c r="K19" s="4" t="s">
        <v>58</v>
      </c>
      <c r="L19" s="5">
        <v>27.166666666666668</v>
      </c>
      <c r="N19" s="4" t="s">
        <v>58</v>
      </c>
      <c r="O19" s="5">
        <v>3.8333333333333335</v>
      </c>
    </row>
    <row r="20" spans="6:15" x14ac:dyDescent="0.25">
      <c r="F20" s="4" t="s">
        <v>59</v>
      </c>
      <c r="G20" s="25">
        <v>20</v>
      </c>
      <c r="K20" s="4" t="s">
        <v>59</v>
      </c>
      <c r="L20" s="5">
        <v>33.950000000000003</v>
      </c>
      <c r="N20" s="4" t="s">
        <v>59</v>
      </c>
      <c r="O20" s="5">
        <v>2.85</v>
      </c>
    </row>
    <row r="21" spans="6:15" x14ac:dyDescent="0.25">
      <c r="F21" s="4" t="s">
        <v>60</v>
      </c>
      <c r="G21" s="25">
        <v>16</v>
      </c>
      <c r="K21" s="4" t="s">
        <v>60</v>
      </c>
      <c r="L21" s="5">
        <v>36.25</v>
      </c>
      <c r="N21" s="4" t="s">
        <v>60</v>
      </c>
      <c r="O21" s="5">
        <v>2.875</v>
      </c>
    </row>
    <row r="22" spans="6:15" x14ac:dyDescent="0.25">
      <c r="F22" s="4" t="s">
        <v>61</v>
      </c>
      <c r="G22" s="25">
        <v>6</v>
      </c>
      <c r="K22" s="4" t="s">
        <v>61</v>
      </c>
      <c r="L22" s="5">
        <v>33.333333333333336</v>
      </c>
      <c r="N22" s="4" t="s">
        <v>61</v>
      </c>
      <c r="O22" s="5">
        <v>3.5</v>
      </c>
    </row>
    <row r="23" spans="6:15" x14ac:dyDescent="0.25">
      <c r="F23" s="4" t="s">
        <v>62</v>
      </c>
      <c r="G23" s="25">
        <v>9</v>
      </c>
      <c r="K23" s="4" t="s">
        <v>62</v>
      </c>
      <c r="L23" s="5">
        <v>27.555555555555557</v>
      </c>
      <c r="N23" s="4" t="s">
        <v>62</v>
      </c>
      <c r="O23" s="5">
        <v>3.4444444444444446</v>
      </c>
    </row>
    <row r="24" spans="6:15" x14ac:dyDescent="0.25">
      <c r="F24" s="4" t="s">
        <v>63</v>
      </c>
      <c r="G24" s="25">
        <v>13</v>
      </c>
      <c r="K24" s="4" t="s">
        <v>63</v>
      </c>
      <c r="L24" s="5">
        <v>36.846153846153847</v>
      </c>
      <c r="N24" s="4" t="s">
        <v>63</v>
      </c>
      <c r="O24" s="5">
        <v>3.0769230769230771</v>
      </c>
    </row>
    <row r="25" spans="6:15" x14ac:dyDescent="0.25">
      <c r="F25" s="4" t="s">
        <v>64</v>
      </c>
      <c r="G25" s="25">
        <v>14</v>
      </c>
      <c r="K25" s="4" t="s">
        <v>64</v>
      </c>
      <c r="L25" s="5">
        <v>31.857142857142858</v>
      </c>
      <c r="N25" s="4" t="s">
        <v>64</v>
      </c>
      <c r="O25" s="5">
        <v>3.0714285714285716</v>
      </c>
    </row>
    <row r="26" spans="6:15" x14ac:dyDescent="0.25">
      <c r="F26" s="4" t="s">
        <v>65</v>
      </c>
      <c r="G26" s="25">
        <v>5</v>
      </c>
      <c r="K26" s="4" t="s">
        <v>65</v>
      </c>
      <c r="L26" s="5">
        <v>31.4</v>
      </c>
      <c r="N26" s="4" t="s">
        <v>65</v>
      </c>
      <c r="O26" s="5">
        <v>3.8</v>
      </c>
    </row>
    <row r="27" spans="6:15" x14ac:dyDescent="0.25">
      <c r="F27" s="4" t="s">
        <v>66</v>
      </c>
      <c r="G27" s="25">
        <v>19</v>
      </c>
      <c r="K27" s="4" t="s">
        <v>66</v>
      </c>
      <c r="L27" s="5">
        <v>25.368421052631579</v>
      </c>
      <c r="N27" s="4" t="s">
        <v>66</v>
      </c>
      <c r="O27" s="5">
        <v>2.8421052631578947</v>
      </c>
    </row>
    <row r="28" spans="6:15" x14ac:dyDescent="0.25">
      <c r="F28" s="4" t="s">
        <v>67</v>
      </c>
      <c r="G28" s="25">
        <v>8</v>
      </c>
      <c r="K28" s="4" t="s">
        <v>67</v>
      </c>
      <c r="L28" s="5">
        <v>22.5</v>
      </c>
      <c r="N28" s="4" t="s">
        <v>67</v>
      </c>
      <c r="O28" s="5">
        <v>3.125</v>
      </c>
    </row>
    <row r="29" spans="6:15" x14ac:dyDescent="0.25">
      <c r="F29" s="4" t="s">
        <v>68</v>
      </c>
      <c r="G29" s="25">
        <v>21</v>
      </c>
      <c r="K29" s="4" t="s">
        <v>68</v>
      </c>
      <c r="L29" s="5">
        <v>35</v>
      </c>
      <c r="N29" s="4" t="s">
        <v>68</v>
      </c>
      <c r="O29" s="5">
        <v>2.4285714285714284</v>
      </c>
    </row>
    <row r="30" spans="6:15" x14ac:dyDescent="0.25">
      <c r="F30" s="4" t="s">
        <v>69</v>
      </c>
      <c r="G30" s="25">
        <v>10</v>
      </c>
      <c r="K30" s="4" t="s">
        <v>69</v>
      </c>
      <c r="L30" s="5">
        <v>35</v>
      </c>
      <c r="N30" s="4" t="s">
        <v>69</v>
      </c>
      <c r="O30" s="5">
        <v>3.8</v>
      </c>
    </row>
    <row r="31" spans="6:15" x14ac:dyDescent="0.25">
      <c r="F31" s="4" t="s">
        <v>70</v>
      </c>
      <c r="G31" s="25">
        <v>14</v>
      </c>
      <c r="K31" s="4" t="s">
        <v>70</v>
      </c>
      <c r="L31" s="5">
        <v>27.357142857142858</v>
      </c>
      <c r="N31" s="4" t="s">
        <v>70</v>
      </c>
      <c r="O31" s="5">
        <v>2.0714285714285716</v>
      </c>
    </row>
    <row r="32" spans="6:15" x14ac:dyDescent="0.25">
      <c r="F32" s="4" t="s">
        <v>71</v>
      </c>
      <c r="G32" s="25">
        <v>13</v>
      </c>
      <c r="K32" s="4" t="s">
        <v>71</v>
      </c>
      <c r="L32" s="5">
        <v>32.46153846153846</v>
      </c>
      <c r="N32" s="4" t="s">
        <v>71</v>
      </c>
      <c r="O32" s="5">
        <v>2.6153846153846154</v>
      </c>
    </row>
    <row r="33" spans="1:15" x14ac:dyDescent="0.25">
      <c r="F33" s="4" t="s">
        <v>72</v>
      </c>
      <c r="G33" s="25">
        <v>12</v>
      </c>
      <c r="K33" s="4" t="s">
        <v>72</v>
      </c>
      <c r="L33" s="5">
        <v>25.166666666666668</v>
      </c>
      <c r="N33" s="4" t="s">
        <v>72</v>
      </c>
      <c r="O33" s="5">
        <v>3</v>
      </c>
    </row>
    <row r="34" spans="1:15" x14ac:dyDescent="0.25">
      <c r="F34" s="4" t="s">
        <v>25</v>
      </c>
      <c r="G34" s="25">
        <v>372</v>
      </c>
    </row>
    <row r="38" spans="1:15" x14ac:dyDescent="0.25">
      <c r="A38" s="3" t="s">
        <v>24</v>
      </c>
      <c r="B38" t="s">
        <v>35</v>
      </c>
      <c r="C38" t="s">
        <v>30</v>
      </c>
      <c r="E38" s="3" t="s">
        <v>24</v>
      </c>
      <c r="F38" t="s">
        <v>35</v>
      </c>
    </row>
    <row r="39" spans="1:15" x14ac:dyDescent="0.25">
      <c r="A39" s="4" t="s">
        <v>6</v>
      </c>
      <c r="B39" s="8">
        <v>0.61290322580645162</v>
      </c>
      <c r="C39" s="7">
        <v>228</v>
      </c>
      <c r="E39" s="4" t="s">
        <v>6</v>
      </c>
      <c r="F39" s="8">
        <v>0.61290322580645162</v>
      </c>
    </row>
    <row r="40" spans="1:15" x14ac:dyDescent="0.25">
      <c r="A40" s="4" t="s">
        <v>26</v>
      </c>
      <c r="B40" s="14">
        <v>0.38709677419354838</v>
      </c>
      <c r="C40" s="1">
        <v>144</v>
      </c>
      <c r="E40" s="4" t="s">
        <v>26</v>
      </c>
      <c r="F40" s="14">
        <v>0.38709677419354838</v>
      </c>
    </row>
    <row r="41" spans="1:15" x14ac:dyDescent="0.25">
      <c r="A41" s="4" t="s">
        <v>25</v>
      </c>
      <c r="B41" s="14">
        <v>1</v>
      </c>
      <c r="C41" s="1">
        <v>372</v>
      </c>
    </row>
    <row r="42" spans="1:15" x14ac:dyDescent="0.25">
      <c r="C42" s="6"/>
    </row>
    <row r="43" spans="1:15" x14ac:dyDescent="0.25">
      <c r="C43" s="6"/>
      <c r="F43" t="s">
        <v>37</v>
      </c>
    </row>
    <row r="44" spans="1:15" x14ac:dyDescent="0.25">
      <c r="A44" s="11" t="s">
        <v>31</v>
      </c>
      <c r="B44" s="11" t="s">
        <v>32</v>
      </c>
      <c r="C44" s="11" t="s">
        <v>33</v>
      </c>
      <c r="D44" s="9" t="s">
        <v>34</v>
      </c>
      <c r="F44" s="3" t="s">
        <v>24</v>
      </c>
      <c r="G44" t="s">
        <v>36</v>
      </c>
    </row>
    <row r="45" spans="1:15" ht="15.75" customHeight="1" x14ac:dyDescent="0.25">
      <c r="A45" s="10" t="str">
        <f>A40</f>
        <v>Not Admitted</v>
      </c>
      <c r="B45" s="12">
        <f>C40</f>
        <v>144</v>
      </c>
      <c r="C45" s="13">
        <f>B40</f>
        <v>0.38709677419354838</v>
      </c>
      <c r="D45" s="6"/>
      <c r="E45" s="6"/>
      <c r="F45" s="4" t="s">
        <v>16</v>
      </c>
      <c r="G45" s="7">
        <v>38</v>
      </c>
    </row>
    <row r="46" spans="1:15" ht="14.25" customHeight="1" x14ac:dyDescent="0.25">
      <c r="A46" s="10" t="str">
        <f>A39</f>
        <v>Admitted</v>
      </c>
      <c r="B46" s="12">
        <f>C39</f>
        <v>228</v>
      </c>
      <c r="C46" s="13">
        <f>B39</f>
        <v>0.61290322580645162</v>
      </c>
      <c r="D46" s="6"/>
      <c r="E46" s="6"/>
      <c r="F46" s="4" t="s">
        <v>21</v>
      </c>
      <c r="G46" s="7">
        <v>33</v>
      </c>
    </row>
    <row r="47" spans="1:15" x14ac:dyDescent="0.25">
      <c r="D47" s="6"/>
      <c r="F47" s="4" t="s">
        <v>10</v>
      </c>
      <c r="G47" s="7">
        <v>33</v>
      </c>
    </row>
    <row r="48" spans="1:15" x14ac:dyDescent="0.25">
      <c r="F48" s="4" t="s">
        <v>20</v>
      </c>
      <c r="G48" s="7">
        <v>47</v>
      </c>
    </row>
    <row r="49" spans="6:7" x14ac:dyDescent="0.25">
      <c r="F49" s="4" t="s">
        <v>13</v>
      </c>
      <c r="G49" s="7">
        <v>31</v>
      </c>
    </row>
    <row r="50" spans="6:7" x14ac:dyDescent="0.25">
      <c r="F50" s="4" t="s">
        <v>23</v>
      </c>
      <c r="G50" s="7">
        <v>27</v>
      </c>
    </row>
    <row r="51" spans="6:7" x14ac:dyDescent="0.25">
      <c r="F51" s="4" t="s">
        <v>22</v>
      </c>
      <c r="G51" s="7">
        <v>54</v>
      </c>
    </row>
    <row r="52" spans="6:7" x14ac:dyDescent="0.25">
      <c r="F52" s="4" t="s">
        <v>11</v>
      </c>
      <c r="G52" s="7">
        <v>36</v>
      </c>
    </row>
    <row r="53" spans="6:7" x14ac:dyDescent="0.25">
      <c r="F53" s="4" t="s">
        <v>19</v>
      </c>
      <c r="G53" s="7">
        <v>35</v>
      </c>
    </row>
    <row r="54" spans="6:7" x14ac:dyDescent="0.25">
      <c r="F54" s="4" t="s">
        <v>7</v>
      </c>
      <c r="G54" s="7">
        <v>38</v>
      </c>
    </row>
    <row r="55" spans="6:7" x14ac:dyDescent="0.25">
      <c r="F55" s="4" t="s">
        <v>25</v>
      </c>
      <c r="G55" s="7">
        <v>372</v>
      </c>
    </row>
    <row r="57" spans="6:7" x14ac:dyDescent="0.25">
      <c r="F57" s="3" t="s">
        <v>24</v>
      </c>
      <c r="G57" t="s">
        <v>38</v>
      </c>
    </row>
    <row r="58" spans="6:7" x14ac:dyDescent="0.25">
      <c r="F58" s="4" t="s">
        <v>8</v>
      </c>
      <c r="G58" s="7">
        <v>190</v>
      </c>
    </row>
    <row r="59" spans="6:7" x14ac:dyDescent="0.25">
      <c r="F59" s="4" t="s">
        <v>15</v>
      </c>
      <c r="G59" s="7">
        <v>182</v>
      </c>
    </row>
    <row r="60" spans="6:7" x14ac:dyDescent="0.25">
      <c r="F60" s="4" t="s">
        <v>25</v>
      </c>
      <c r="G60" s="7">
        <v>372</v>
      </c>
    </row>
    <row r="62" spans="6:7" x14ac:dyDescent="0.25">
      <c r="F62" s="3" t="s">
        <v>24</v>
      </c>
      <c r="G62" t="s">
        <v>39</v>
      </c>
    </row>
    <row r="63" spans="6:7" x14ac:dyDescent="0.25">
      <c r="F63" s="4" t="s">
        <v>27</v>
      </c>
      <c r="G63" s="7">
        <v>112</v>
      </c>
    </row>
    <row r="64" spans="6:7" x14ac:dyDescent="0.25">
      <c r="F64" s="4" t="s">
        <v>28</v>
      </c>
      <c r="G64" s="7">
        <v>135</v>
      </c>
    </row>
    <row r="65" spans="6:7" x14ac:dyDescent="0.25">
      <c r="F65" s="4" t="s">
        <v>4</v>
      </c>
      <c r="G65" s="7">
        <v>125</v>
      </c>
    </row>
    <row r="66" spans="6:7" x14ac:dyDescent="0.25">
      <c r="F66" s="4" t="s">
        <v>25</v>
      </c>
      <c r="G66" s="7">
        <v>372</v>
      </c>
    </row>
    <row r="68" spans="6:7" x14ac:dyDescent="0.25">
      <c r="F68" s="3" t="s">
        <v>24</v>
      </c>
      <c r="G68" t="s">
        <v>40</v>
      </c>
    </row>
    <row r="69" spans="6:7" x14ac:dyDescent="0.25">
      <c r="F69" s="4" t="s">
        <v>14</v>
      </c>
      <c r="G69" s="7">
        <v>70</v>
      </c>
    </row>
    <row r="70" spans="6:7" x14ac:dyDescent="0.25">
      <c r="F70" s="4" t="s">
        <v>9</v>
      </c>
      <c r="G70" s="7">
        <v>68</v>
      </c>
    </row>
    <row r="71" spans="6:7" x14ac:dyDescent="0.25">
      <c r="F71" s="4" t="s">
        <v>5</v>
      </c>
      <c r="G71" s="7">
        <v>65</v>
      </c>
    </row>
    <row r="72" spans="6:7" x14ac:dyDescent="0.25">
      <c r="F72" s="4" t="s">
        <v>12</v>
      </c>
      <c r="G72" s="7">
        <v>58</v>
      </c>
    </row>
    <row r="73" spans="6:7" x14ac:dyDescent="0.25">
      <c r="F73" s="4" t="s">
        <v>17</v>
      </c>
      <c r="G73" s="7">
        <v>56</v>
      </c>
    </row>
    <row r="74" spans="6:7" x14ac:dyDescent="0.25">
      <c r="F74" s="4" t="s">
        <v>18</v>
      </c>
      <c r="G74" s="7">
        <v>55</v>
      </c>
    </row>
    <row r="75" spans="6:7" x14ac:dyDescent="0.25">
      <c r="F75" s="4" t="s">
        <v>25</v>
      </c>
      <c r="G75" s="7">
        <v>372</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AE4E3-6AC4-4A58-9EA4-CEFF861BBB83}">
  <dimension ref="I8"/>
  <sheetViews>
    <sheetView tabSelected="1" zoomScale="136" zoomScaleNormal="136" workbookViewId="0"/>
  </sheetViews>
  <sheetFormatPr defaultRowHeight="15" x14ac:dyDescent="0.25"/>
  <cols>
    <col min="1" max="16384" width="9.140625" style="2"/>
  </cols>
  <sheetData>
    <row r="8" spans="9:9" x14ac:dyDescent="0.25">
      <c r="I8" s="1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CA3D8-2244-4AAB-B99D-AE7794B7018E}">
  <dimension ref="C30:W31"/>
  <sheetViews>
    <sheetView zoomScale="86" zoomScaleNormal="86" workbookViewId="0">
      <selection activeCell="C30" sqref="C30"/>
    </sheetView>
  </sheetViews>
  <sheetFormatPr defaultRowHeight="15" x14ac:dyDescent="0.25"/>
  <cols>
    <col min="1" max="16384" width="9.140625" style="6"/>
  </cols>
  <sheetData>
    <row r="30" spans="3:23" ht="28.5" x14ac:dyDescent="0.45">
      <c r="C30" s="23" t="s">
        <v>41</v>
      </c>
      <c r="E30" s="17"/>
      <c r="F30" s="17"/>
      <c r="G30" s="17"/>
      <c r="H30" s="17"/>
      <c r="I30" s="17"/>
      <c r="J30" s="17"/>
      <c r="K30" s="17"/>
      <c r="L30" s="17"/>
      <c r="M30" s="17"/>
      <c r="N30" s="17"/>
      <c r="O30" s="17"/>
      <c r="P30" s="17"/>
      <c r="Q30" s="18"/>
      <c r="R30" s="18"/>
      <c r="S30" s="16"/>
      <c r="T30" s="16"/>
      <c r="U30" s="16"/>
      <c r="V30" s="16"/>
      <c r="W30" s="16"/>
    </row>
    <row r="31" spans="3:23" ht="28.5" x14ac:dyDescent="0.45">
      <c r="D31" s="24"/>
      <c r="E31" s="24"/>
      <c r="F31" s="24"/>
      <c r="G31" s="24"/>
      <c r="H31" s="24"/>
      <c r="I31" s="24"/>
      <c r="J31" s="24"/>
      <c r="K31" s="24"/>
      <c r="L31" s="24"/>
      <c r="M31" s="24"/>
      <c r="N31" s="24"/>
      <c r="O31" s="24"/>
      <c r="P31" s="24"/>
      <c r="Q31" s="24"/>
      <c r="R31" s="24"/>
      <c r="S31" s="16"/>
      <c r="T31" s="16"/>
      <c r="U31" s="16"/>
      <c r="V31" s="16"/>
      <c r="W31" s="1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7D5CE-F2E2-45B7-B3D7-8C5284D2574C}">
  <dimension ref="C31:S33"/>
  <sheetViews>
    <sheetView zoomScale="84" zoomScaleNormal="84" workbookViewId="0"/>
  </sheetViews>
  <sheetFormatPr defaultRowHeight="15" x14ac:dyDescent="0.25"/>
  <cols>
    <col min="1" max="16384" width="9.140625" style="6"/>
  </cols>
  <sheetData>
    <row r="31" spans="3:4" ht="26.25" x14ac:dyDescent="0.25">
      <c r="C31" s="19" t="s">
        <v>42</v>
      </c>
    </row>
    <row r="32" spans="3:4" x14ac:dyDescent="0.25">
      <c r="D32"/>
    </row>
    <row r="33" spans="3:19" ht="26.25" x14ac:dyDescent="0.4">
      <c r="C33" s="20"/>
      <c r="D33" s="20"/>
      <c r="E33" s="20"/>
      <c r="F33" s="20"/>
      <c r="G33" s="20"/>
      <c r="H33" s="20"/>
      <c r="I33" s="20"/>
      <c r="J33" s="20"/>
      <c r="K33" s="20"/>
      <c r="L33" s="20"/>
      <c r="M33" s="21"/>
      <c r="N33" s="21"/>
      <c r="O33" s="21"/>
      <c r="P33" s="21"/>
      <c r="Q33" s="21"/>
      <c r="R33" s="21"/>
      <c r="S33" s="2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2894-5CEE-4512-BB7E-EFB412BF40FD}">
  <dimension ref="C26"/>
  <sheetViews>
    <sheetView workbookViewId="0"/>
  </sheetViews>
  <sheetFormatPr defaultRowHeight="15" x14ac:dyDescent="0.25"/>
  <cols>
    <col min="1" max="16384" width="9.140625" style="6"/>
  </cols>
  <sheetData>
    <row r="26" spans="3:3" ht="23.25" x14ac:dyDescent="0.35">
      <c r="C26" s="22" t="s">
        <v>43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D7A7F3FA-EEE4-418D-ADC3-57C636D74DAE}">
  <ds:schemaRefs/>
</ds:datastoreItem>
</file>

<file path=customXml/itemProps2.xml><?xml version="1.0" encoding="utf-8"?>
<ds:datastoreItem xmlns:ds="http://schemas.openxmlformats.org/officeDocument/2006/customXml" ds:itemID="{E8BCCBD3-DFD8-4ADB-9D93-9707F05965C4}">
  <ds:schemaRefs/>
</ds:datastoreItem>
</file>

<file path=customXml/itemProps3.xml><?xml version="1.0" encoding="utf-8"?>
<ds:datastoreItem xmlns:ds="http://schemas.openxmlformats.org/officeDocument/2006/customXml" ds:itemID="{046F973E-B87C-48CA-9E4C-EE8F25F0F5C2}">
  <ds:schemaRefs>
    <ds:schemaRef ds:uri="http://schemas.microsoft.com/DataMashup"/>
  </ds:schemaRefs>
</ds:datastoreItem>
</file>

<file path=customXml/itemProps4.xml><?xml version="1.0" encoding="utf-8"?>
<ds:datastoreItem xmlns:ds="http://schemas.openxmlformats.org/officeDocument/2006/customXml" ds:itemID="{2EFCBF02-6D50-473C-91F2-06BCA6628039}">
  <ds:schemaRefs/>
</ds:datastoreItem>
</file>

<file path=customXml/itemProps5.xml><?xml version="1.0" encoding="utf-8"?>
<ds:datastoreItem xmlns:ds="http://schemas.openxmlformats.org/officeDocument/2006/customXml" ds:itemID="{E57975CC-4AFC-458C-B989-2BE5A7BCA35A}">
  <ds:schemaRefs/>
</ds:datastoreItem>
</file>

<file path=customXml/itemProps6.xml><?xml version="1.0" encoding="utf-8"?>
<ds:datastoreItem xmlns:ds="http://schemas.openxmlformats.org/officeDocument/2006/customXml" ds:itemID="{44C4C82B-D3DF-42AA-A0D2-4D6FE36FA98B}">
  <ds:schemaRefs/>
</ds:datastoreItem>
</file>

<file path=customXml/itemProps7.xml><?xml version="1.0" encoding="utf-8"?>
<ds:datastoreItem xmlns:ds="http://schemas.openxmlformats.org/officeDocument/2006/customXml" ds:itemID="{6C5A5597-E771-4D3A-866B-9CEB1F7A2EB8}">
  <ds:schemaRefs/>
</ds:datastoreItem>
</file>

<file path=customXml/itemProps8.xml><?xml version="1.0" encoding="utf-8"?>
<ds:datastoreItem xmlns:ds="http://schemas.openxmlformats.org/officeDocument/2006/customXml" ds:itemID="{941A9B7A-160A-4998-8A5C-AD185F25BB6F}">
  <ds:schemaRefs/>
</ds:datastoreItem>
</file>

<file path=customXml/itemProps9.xml><?xml version="1.0" encoding="utf-8"?>
<ds:datastoreItem xmlns:ds="http://schemas.openxmlformats.org/officeDocument/2006/customXml" ds:itemID="{B7DE7D45-9345-4C2B-94BE-E53F3CA0D8AD}">
  <ds:schemaRefs/>
</ds:datastoreItem>
</file>

<file path=customXml/itemProps10.xml><?xml version="1.0" encoding="utf-8"?>
<ds:datastoreItem xmlns:ds="http://schemas.openxmlformats.org/officeDocument/2006/customXml" ds:itemID="{FFD86D88-1378-4365-B71A-4EC0F4CAD927}">
  <ds:schemaRefs/>
</ds:datastoreItem>
</file>

<file path=customXml/itemProps11.xml><?xml version="1.0" encoding="utf-8"?>
<ds:datastoreItem xmlns:ds="http://schemas.openxmlformats.org/officeDocument/2006/customXml" ds:itemID="{433BF70E-F4D9-4FEE-BB9E-93074AEA599B}">
  <ds:schemaRefs/>
</ds:datastoreItem>
</file>

<file path=customXml/itemProps12.xml><?xml version="1.0" encoding="utf-8"?>
<ds:datastoreItem xmlns:ds="http://schemas.openxmlformats.org/officeDocument/2006/customXml" ds:itemID="{FB332A64-1FD9-432E-A250-51211F55F9D9}">
  <ds:schemaRefs/>
</ds:datastoreItem>
</file>

<file path=customXml/itemProps13.xml><?xml version="1.0" encoding="utf-8"?>
<ds:datastoreItem xmlns:ds="http://schemas.openxmlformats.org/officeDocument/2006/customXml" ds:itemID="{79902DFB-001E-4BD6-9FD2-0F3F8AE71C63}">
  <ds:schemaRefs/>
</ds:datastoreItem>
</file>

<file path=customXml/itemProps14.xml><?xml version="1.0" encoding="utf-8"?>
<ds:datastoreItem xmlns:ds="http://schemas.openxmlformats.org/officeDocument/2006/customXml" ds:itemID="{C8E99E0E-F181-464B-96DC-63703332608E}">
  <ds:schemaRefs/>
</ds:datastoreItem>
</file>

<file path=customXml/itemProps15.xml><?xml version="1.0" encoding="utf-8"?>
<ds:datastoreItem xmlns:ds="http://schemas.openxmlformats.org/officeDocument/2006/customXml" ds:itemID="{3C2EE73D-4414-43F3-9BFD-9846B9C01889}">
  <ds:schemaRefs/>
</ds:datastoreItem>
</file>

<file path=customXml/itemProps16.xml><?xml version="1.0" encoding="utf-8"?>
<ds:datastoreItem xmlns:ds="http://schemas.openxmlformats.org/officeDocument/2006/customXml" ds:itemID="{8D2B3973-10A5-4772-8063-9C8C00632CC0}">
  <ds:schemaRefs/>
</ds:datastoreItem>
</file>

<file path=customXml/itemProps17.xml><?xml version="1.0" encoding="utf-8"?>
<ds:datastoreItem xmlns:ds="http://schemas.openxmlformats.org/officeDocument/2006/customXml" ds:itemID="{C74F0957-78A5-469A-B850-60A6D5B5D8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Distinct Count of Patient_id</vt:lpstr>
      <vt:lpstr>Average of Patient_wait_time</vt:lpstr>
      <vt:lpstr>Average of Patient_satisfaction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2025-11-24T12:46:24Z</dcterms:created>
  <dcterms:modified xsi:type="dcterms:W3CDTF">2025-12-01T09:18:44Z</dcterms:modified>
</cp:coreProperties>
</file>